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FA2ADC41-D391-4381-B7DF-3B2B8F439A0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5" i="4" l="1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<sst xmlns="http://schemas.openxmlformats.org/spreadsheetml/2006/main" count="167" uniqueCount="108">
  <si>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</si>
  <si>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</si>
  <si>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</si>
  <si>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</si>
  <si>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</si>
  <si>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</si>
  <si>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</si>
  <si>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</si>
  <si>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</si>
  <si>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</si>
  <si>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</si>
  <si>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</si>
  <si>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</si>
  <si>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</si>
  <si>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</si>
  <si>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</si>
  <si>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</si>
  <si>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</si>
  <si>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</si>
  <si>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</si>
  <si>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</si>
  <si>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</si>
  <si>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</si>
  <si>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</si>
  <si>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</si>
  <si>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</si>
  <si>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</si>
  <si>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</si>
  <si>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</si>
  <si>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</si>
  <si>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</si>
  <si>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</si>
  <si>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</si>
  <si>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</si>
  <si>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</si>
  <si>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</si>
  <si>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</si>
  <si>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</si>
  <si>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</si>
  <si>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</si>
  <si>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</si>
  <si>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</si>
  <si>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</si>
  <si>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</si>
  <si>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</si>
  <si>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</si>
  <si>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</si>
  <si>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</si>
  <si>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</si>
  <si>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</si>
  <si>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</si>
  <si>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</si>
  <si>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</si>
  <si>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</si>
  <si>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</si>
  <si>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</si>
  <si>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</si>
  <si>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</si>
  <si>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</si>
  <si>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</si>
  <si>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</si>
  <si>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</si>
  <si>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</si>
  <si>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</si>
  <si>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</si>
  <si>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</si>
  <si>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</si>
  <si>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</si>
  <si>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</si>
  <si>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</si>
  <si>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</si>
  <si>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</si>
  <si>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</si>
  <si>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</si>
  <si>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</si>
  <si>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</si>
  <si>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</si>
  <si>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</si>
  <si>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</si>
  <si>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</si>
  <si>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</si>
  <si>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</si>
  <si>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</si>
  <si>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</si>
  <si>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</si>
  <si>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</si>
  <si>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</si>
  <si>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</si>
  <si>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</si>
  <si>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</si>
  <si>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</si>
  <si>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</si>
  <si>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</si>
  <si>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</si>
  <si>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</si>
  <si>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</si>
  <si>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</si>
  <si>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</si>
  <si>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raquimus@hotmail.com</t>
  </si>
  <si>
    <t>Asistencia_lunes_6_abril</t>
  </si>
  <si>
    <t>semana_1</t>
  </si>
  <si>
    <t>mariaalejandracuestacaldera@gmail.com</t>
  </si>
  <si>
    <t>yeniferaguirrecarvajal2008@gmail.com</t>
  </si>
  <si>
    <t>mariallno0716@gmail.com</t>
  </si>
  <si>
    <t>resolver problema con su correo</t>
  </si>
  <si>
    <t>yenifer aguirre</t>
  </si>
  <si>
    <t>Vinculo para reportar resultados del PIVU</t>
  </si>
  <si>
    <t>https://drive.google.com/drive/folders/1DKjhk5WYX2JoeEOOIpX-ryXIQZSD91NS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</si>
</sst>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9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  <font>
      <u/>
      <sz val="10"/>
      <color indexed="8"/>
      <name val="Calibri"/>
      <family val="2"/>
    </font>
    <font>
      <u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4" fillId="0" borderId="0" xfId="0" applyFont="1"/>
    <xf numFmtId="0" fontId="18" fillId="0" borderId="18" xfId="0" applyFont="1" applyBorder="1" applyAlignment="1">
      <alignment horizontal="center" vertical="center"/>
    </xf>
    <xf numFmtId="0" fontId="15" fillId="0" borderId="1" xfId="2" applyBorder="1"/>
    <xf numFmtId="0" fontId="23" fillId="12" borderId="1" xfId="0" applyFont="1" applyFill="1" applyBorder="1"/>
    <xf numFmtId="0" fontId="23" fillId="8" borderId="1" xfId="0" applyFont="1" applyFill="1" applyBorder="1"/>
    <xf numFmtId="0" fontId="27" fillId="0" borderId="1" xfId="0" applyFont="1" applyBorder="1" applyAlignment="1">
      <alignment horizontal="justify" vertical="center"/>
    </xf>
    <xf numFmtId="0" fontId="28" fillId="0" borderId="1" xfId="0" applyFont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yeniferaguirrecarvajal2008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mariaalejandracuestacaldera@gmail.com" TargetMode="External"/><Relationship Id="rId1" Type="http://schemas.openxmlformats.org/officeDocument/2006/relationships/hyperlink" Target="mailto:camilacampo2008@icloud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riallno0716@gmail.com" TargetMode="External"/><Relationship Id="rId4" Type="http://schemas.openxmlformats.org/officeDocument/2006/relationships/hyperlink" Target="mailto:raquimus@hot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opLeftCell="A30" workbookViewId="0">
      <selection activeCell="G4" sqref="G4:G38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5" bestFit="1" customWidth="1"/>
    <col min="3" max="3" width="24.44140625" style="45" bestFit="1" customWidth="1"/>
    <col min="4" max="4" width="17.6640625" style="49" bestFit="1" customWidth="1"/>
    <col min="5" max="5" width="12.88671875" style="38" bestFit="1" customWidth="1"/>
    <col min="6" max="6" width="13.6640625" style="45" bestFit="1" customWidth="1"/>
    <col min="7" max="7" width="40.33203125" style="45" bestFit="1" customWidth="1"/>
    <col min="8" max="8" width="29.21875" style="46" customWidth="1"/>
    <col min="9" max="9" width="22.77734375" style="38" customWidth="1"/>
    <col min="10" max="16384" width="11.44140625" style="38"/>
  </cols>
  <sheetData>
    <row r="1" spans="1:9" ht="72" customHeight="1" x14ac:dyDescent="0.3">
      <c r="A1" s="92" t="s">
        <v>27</v>
      </c>
      <c r="B1" s="91"/>
      <c r="C1" s="91"/>
      <c r="D1" s="91"/>
      <c r="E1" s="91"/>
      <c r="F1" s="91"/>
      <c r="G1" s="91"/>
      <c r="H1" s="91"/>
    </row>
    <row r="2" spans="1:9" ht="19.8" x14ac:dyDescent="0.3">
      <c r="A2" s="91" t="s">
        <v>26</v>
      </c>
      <c r="B2" s="91"/>
      <c r="C2" s="91"/>
      <c r="D2" s="91"/>
      <c r="E2" s="91"/>
      <c r="F2" s="91"/>
      <c r="G2" s="91"/>
      <c r="H2" s="91"/>
      <c r="I2" s="50" t="s">
        <v>99</v>
      </c>
    </row>
    <row r="3" spans="1:9" x14ac:dyDescent="0.3">
      <c r="A3" s="39" t="s">
        <v>13</v>
      </c>
      <c r="B3" s="40" t="s">
        <v>25</v>
      </c>
      <c r="C3" s="41" t="s">
        <v>57</v>
      </c>
      <c r="D3" s="47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8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8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8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8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8">
        <v>1040505284</v>
      </c>
      <c r="E8" s="44">
        <v>3225647288</v>
      </c>
      <c r="F8" s="44">
        <v>3225647288</v>
      </c>
      <c r="G8" s="44" t="s">
        <v>78</v>
      </c>
      <c r="H8" s="44"/>
      <c r="I8" s="38">
        <v>1</v>
      </c>
    </row>
    <row r="9" spans="1:9" ht="36" customHeight="1" x14ac:dyDescent="0.3">
      <c r="A9" s="42">
        <v>6</v>
      </c>
      <c r="B9" s="43" t="s">
        <v>87</v>
      </c>
      <c r="C9" s="44" t="s">
        <v>28</v>
      </c>
      <c r="D9" s="48">
        <v>1038110143</v>
      </c>
      <c r="E9" s="44">
        <v>3203519315</v>
      </c>
      <c r="F9" s="44">
        <v>3203519315</v>
      </c>
      <c r="G9" s="52" t="s">
        <v>95</v>
      </c>
      <c r="H9" s="54" t="s">
        <v>104</v>
      </c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8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8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8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8">
        <v>1038134078</v>
      </c>
      <c r="E13" s="44">
        <v>3136630762</v>
      </c>
      <c r="F13" s="44">
        <v>3136630762</v>
      </c>
      <c r="G13" s="52" t="s">
        <v>98</v>
      </c>
      <c r="H13" s="53"/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8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8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8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8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8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8">
        <v>1011513720</v>
      </c>
      <c r="E19" s="44">
        <v>8395975</v>
      </c>
      <c r="F19" s="44">
        <v>3218798123</v>
      </c>
      <c r="G19" s="52" t="s">
        <v>101</v>
      </c>
      <c r="H19" s="53"/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8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8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8">
        <v>1038648337</v>
      </c>
      <c r="E22" s="44">
        <v>3145134544</v>
      </c>
      <c r="F22" s="44">
        <v>3145134544</v>
      </c>
      <c r="G22" s="52" t="s">
        <v>103</v>
      </c>
      <c r="H22" s="53"/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8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8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8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8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8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8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8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8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8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8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9" ht="36" customHeight="1" x14ac:dyDescent="0.3">
      <c r="A33" s="42">
        <v>30</v>
      </c>
      <c r="B33" s="43" t="s">
        <v>55</v>
      </c>
      <c r="C33" s="44" t="s">
        <v>28</v>
      </c>
      <c r="D33" s="48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9" ht="36" customHeight="1" x14ac:dyDescent="0.3">
      <c r="A34" s="42">
        <v>31</v>
      </c>
      <c r="B34" s="43" t="s">
        <v>88</v>
      </c>
      <c r="C34" s="44" t="s">
        <v>28</v>
      </c>
      <c r="D34" s="48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9" ht="36" customHeight="1" x14ac:dyDescent="0.3">
      <c r="A35" s="42">
        <v>32</v>
      </c>
      <c r="B35" s="43" t="s">
        <v>51</v>
      </c>
      <c r="C35" s="44" t="s">
        <v>28</v>
      </c>
      <c r="D35" s="48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9" ht="36" customHeight="1" x14ac:dyDescent="0.3">
      <c r="A36" s="42">
        <v>33</v>
      </c>
      <c r="B36" s="43" t="s">
        <v>42</v>
      </c>
      <c r="C36" s="44" t="s">
        <v>30</v>
      </c>
      <c r="D36" s="48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9" ht="36" customHeight="1" x14ac:dyDescent="0.3">
      <c r="A37" s="42">
        <v>34</v>
      </c>
      <c r="B37" s="43" t="s">
        <v>44</v>
      </c>
      <c r="C37" s="44" t="s">
        <v>28</v>
      </c>
      <c r="D37" s="48">
        <v>1038113397</v>
      </c>
      <c r="E37" s="44">
        <v>3117764955</v>
      </c>
      <c r="F37" s="44">
        <v>3145742471</v>
      </c>
      <c r="G37" s="44" t="s">
        <v>59</v>
      </c>
      <c r="H37" s="44"/>
      <c r="I37" s="45" t="s">
        <v>107</v>
      </c>
    </row>
    <row r="38" spans="1:9" ht="36" customHeight="1" x14ac:dyDescent="0.3">
      <c r="A38" s="42">
        <v>35</v>
      </c>
      <c r="B38" s="43" t="s">
        <v>91</v>
      </c>
      <c r="C38" s="44" t="s">
        <v>28</v>
      </c>
      <c r="D38" s="48">
        <v>1038111032</v>
      </c>
      <c r="E38" s="44">
        <v>3209212858</v>
      </c>
      <c r="F38" s="44">
        <v>3212234096</v>
      </c>
      <c r="G38" s="52" t="s">
        <v>102</v>
      </c>
      <c r="H38" s="44"/>
      <c r="I38" s="45" t="s">
        <v>106</v>
      </c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  <hyperlink ref="G19" r:id="rId2" xr:uid="{0D63D482-2B15-4CBD-8A6E-32A20A7492DB}"/>
    <hyperlink ref="G38" r:id="rId3" xr:uid="{F41688A5-1CDE-42E7-9CB3-E623ADE29950}"/>
    <hyperlink ref="G13" r:id="rId4" xr:uid="{5EC44252-B9A4-45C6-9F57-A5A815D8FC04}"/>
    <hyperlink ref="G22" r:id="rId5" xr:uid="{05E3B9BD-D2ED-4CAA-BA6F-0462EAED9919}"/>
  </hyperlinks>
  <pageMargins left="0.19685039370078741" right="0.19685039370078741" top="0.19685039370078741" bottom="0.19685039370078741" header="0.31496062992125984" footer="0.31496062992125984"/>
  <pageSetup scale="80" orientation="landscape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0"/>
  <sheetViews>
    <sheetView tabSelected="1" topLeftCell="A28" zoomScale="140" zoomScaleNormal="140" workbookViewId="0">
      <selection activeCell="D40" sqref="D40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4" t="s">
        <v>18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</row>
    <row r="2" spans="1:31" ht="20.100000000000001" customHeight="1" x14ac:dyDescent="0.4">
      <c r="A2" s="65" t="s">
        <v>13</v>
      </c>
      <c r="B2" s="89" t="s">
        <v>21</v>
      </c>
      <c r="C2" s="65" t="s">
        <v>3</v>
      </c>
      <c r="D2" s="82" t="s">
        <v>19</v>
      </c>
      <c r="E2" s="83"/>
      <c r="F2" s="83"/>
      <c r="G2" s="83"/>
      <c r="H2" s="84"/>
      <c r="I2" s="67" t="s">
        <v>19</v>
      </c>
      <c r="J2" s="68"/>
      <c r="K2" s="68"/>
      <c r="L2" s="68"/>
      <c r="M2" s="68"/>
      <c r="N2" s="68"/>
      <c r="O2" s="68"/>
      <c r="P2" s="68"/>
      <c r="Q2" s="69"/>
      <c r="R2" s="76" t="s">
        <v>19</v>
      </c>
      <c r="S2" s="77"/>
      <c r="T2" s="77"/>
      <c r="U2" s="77"/>
      <c r="V2" s="77"/>
      <c r="W2" s="77"/>
      <c r="X2" s="77"/>
      <c r="Y2" s="77"/>
      <c r="Z2" s="78"/>
      <c r="AA2" s="57" t="s">
        <v>19</v>
      </c>
      <c r="AB2" s="58"/>
      <c r="AC2" s="58"/>
      <c r="AD2" s="58"/>
      <c r="AE2" s="59"/>
    </row>
    <row r="3" spans="1:31" ht="15" customHeight="1" x14ac:dyDescent="0.3">
      <c r="A3" s="66"/>
      <c r="B3" s="90"/>
      <c r="C3" s="66"/>
      <c r="D3" s="85" t="s">
        <v>7</v>
      </c>
      <c r="E3" s="86"/>
      <c r="F3" s="86"/>
      <c r="G3" s="86"/>
      <c r="H3" s="87"/>
      <c r="I3" s="70" t="s">
        <v>2</v>
      </c>
      <c r="J3" s="71"/>
      <c r="K3" s="71"/>
      <c r="L3" s="71"/>
      <c r="M3" s="71"/>
      <c r="N3" s="71"/>
      <c r="O3" s="71"/>
      <c r="P3" s="71"/>
      <c r="Q3" s="72"/>
      <c r="R3" s="79" t="s">
        <v>1</v>
      </c>
      <c r="S3" s="80"/>
      <c r="T3" s="80"/>
      <c r="U3" s="80"/>
      <c r="V3" s="80"/>
      <c r="W3" s="80"/>
      <c r="X3" s="80"/>
      <c r="Y3" s="80"/>
      <c r="Z3" s="81"/>
      <c r="AA3" s="60" t="s">
        <v>0</v>
      </c>
      <c r="AB3" s="61"/>
      <c r="AC3" s="61"/>
      <c r="AD3" s="61"/>
      <c r="AE3" s="62"/>
    </row>
    <row r="4" spans="1:31" ht="35.25" customHeight="1" x14ac:dyDescent="0.3">
      <c r="A4" s="66"/>
      <c r="B4" s="90"/>
      <c r="C4" s="66"/>
      <c r="D4" s="88" t="s">
        <v>22</v>
      </c>
      <c r="E4" s="74"/>
      <c r="F4" s="74"/>
      <c r="G4" s="75"/>
      <c r="H4" s="1"/>
      <c r="I4" s="73" t="s">
        <v>23</v>
      </c>
      <c r="J4" s="74"/>
      <c r="K4" s="74"/>
      <c r="L4" s="74"/>
      <c r="M4" s="74"/>
      <c r="N4" s="74"/>
      <c r="O4" s="74"/>
      <c r="P4" s="75"/>
      <c r="Q4" s="3"/>
      <c r="R4" s="73" t="s">
        <v>23</v>
      </c>
      <c r="S4" s="74"/>
      <c r="T4" s="74"/>
      <c r="U4" s="74"/>
      <c r="V4" s="74"/>
      <c r="W4" s="74"/>
      <c r="X4" s="74"/>
      <c r="Y4" s="75"/>
      <c r="Z4" s="12"/>
      <c r="AA4" s="63" t="s">
        <v>23</v>
      </c>
      <c r="AB4" s="63"/>
      <c r="AC4" s="63"/>
      <c r="AD4" s="63"/>
      <c r="AE4" s="3"/>
    </row>
    <row r="5" spans="1:31" ht="27.75" customHeight="1" x14ac:dyDescent="0.3">
      <c r="A5" s="66"/>
      <c r="B5" s="90"/>
      <c r="C5" s="66"/>
      <c r="D5" s="28" t="s">
        <v>100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>
        <v>1</v>
      </c>
      <c r="E6" s="13"/>
      <c r="F6" s="13"/>
      <c r="G6" s="13"/>
      <c r="H6" s="32">
        <f>+SUM(D6:G6)/4</f>
        <v>0.25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/>
      <c r="E7" s="13"/>
      <c r="F7" s="13"/>
      <c r="G7" s="13"/>
      <c r="H7" s="32">
        <f t="shared" ref="H7:H39" si="0">+SUM(D7:G7)/4</f>
        <v>0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>
        <v>1</v>
      </c>
      <c r="E8" s="13"/>
      <c r="F8" s="13"/>
      <c r="G8" s="13"/>
      <c r="H8" s="32">
        <f t="shared" si="0"/>
        <v>0.25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/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>
        <v>1</v>
      </c>
      <c r="E10" s="13"/>
      <c r="F10" s="13"/>
      <c r="G10" s="13"/>
      <c r="H10" s="32">
        <f t="shared" si="0"/>
        <v>0.25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>
        <v>1</v>
      </c>
      <c r="E11" s="13"/>
      <c r="F11" s="13"/>
      <c r="G11" s="13"/>
      <c r="H11" s="32">
        <f t="shared" si="0"/>
        <v>0.25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/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/>
      <c r="E13" s="13"/>
      <c r="F13" s="13"/>
      <c r="G13" s="13"/>
      <c r="H13" s="32">
        <f t="shared" si="0"/>
        <v>0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>
        <v>4</v>
      </c>
      <c r="E14" s="13"/>
      <c r="F14" s="13"/>
      <c r="G14" s="13"/>
      <c r="H14" s="32">
        <f t="shared" si="0"/>
        <v>1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>
        <v>1</v>
      </c>
      <c r="E15" s="13"/>
      <c r="F15" s="13"/>
      <c r="G15" s="13"/>
      <c r="H15" s="32">
        <f t="shared" si="0"/>
        <v>0.25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/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/>
      <c r="E17" s="13"/>
      <c r="F17" s="13"/>
      <c r="G17" s="13"/>
      <c r="H17" s="32">
        <f t="shared" si="0"/>
        <v>0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/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/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>
        <v>1</v>
      </c>
      <c r="E20" s="13"/>
      <c r="F20" s="13"/>
      <c r="G20" s="13"/>
      <c r="H20" s="32">
        <f t="shared" si="0"/>
        <v>0.25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/>
      <c r="E21" s="13"/>
      <c r="F21" s="13"/>
      <c r="G21" s="13"/>
      <c r="H21" s="32">
        <f t="shared" si="0"/>
        <v>0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/>
      <c r="E22" s="13"/>
      <c r="F22" s="13"/>
      <c r="G22" s="13"/>
      <c r="H22" s="32">
        <f t="shared" si="0"/>
        <v>0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>
        <v>1</v>
      </c>
      <c r="E23" s="13"/>
      <c r="F23" s="13"/>
      <c r="G23" s="13"/>
      <c r="H23" s="32">
        <f t="shared" si="0"/>
        <v>0.25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/>
      <c r="E24" s="13"/>
      <c r="F24" s="13"/>
      <c r="G24" s="13"/>
      <c r="H24" s="32">
        <f t="shared" si="0"/>
        <v>0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/>
      <c r="E25" s="13"/>
      <c r="F25" s="13"/>
      <c r="G25" s="13"/>
      <c r="H25" s="32">
        <f t="shared" si="0"/>
        <v>0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/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>
        <v>1</v>
      </c>
      <c r="E27" s="13"/>
      <c r="F27" s="13"/>
      <c r="G27" s="13"/>
      <c r="H27" s="32">
        <f t="shared" si="0"/>
        <v>0.25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/>
      <c r="E28" s="13"/>
      <c r="F28" s="13"/>
      <c r="G28" s="13"/>
      <c r="H28" s="32">
        <f t="shared" si="0"/>
        <v>0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>
        <v>3</v>
      </c>
      <c r="E29" s="13"/>
      <c r="F29" s="13"/>
      <c r="G29" s="13"/>
      <c r="H29" s="32">
        <f t="shared" si="0"/>
        <v>0.75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>
        <v>3</v>
      </c>
      <c r="E30" s="13"/>
      <c r="F30" s="13"/>
      <c r="G30" s="13"/>
      <c r="H30" s="32">
        <f t="shared" si="0"/>
        <v>0.75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56"/>
      <c r="E31" s="13"/>
      <c r="F31" s="13"/>
      <c r="G31" s="13"/>
      <c r="H31" s="32">
        <f t="shared" si="0"/>
        <v>0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>
        <v>5</v>
      </c>
      <c r="E32" s="13"/>
      <c r="F32" s="13"/>
      <c r="G32" s="13"/>
      <c r="H32" s="32">
        <f t="shared" si="0"/>
        <v>1.25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0</v>
      </c>
      <c r="E33" s="13"/>
      <c r="F33" s="13"/>
      <c r="G33" s="13"/>
      <c r="H33" s="32">
        <f t="shared" si="0"/>
        <v>0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/>
      <c r="E34" s="13"/>
      <c r="F34" s="13"/>
      <c r="G34" s="13"/>
      <c r="H34" s="32">
        <f t="shared" si="0"/>
        <v>0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>
        <v>1</v>
      </c>
      <c r="E35" s="13"/>
      <c r="F35" s="13"/>
      <c r="G35" s="13"/>
      <c r="H35" s="32">
        <f t="shared" si="0"/>
        <v>0.25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>
        <v>1</v>
      </c>
      <c r="E36" s="13"/>
      <c r="F36" s="13"/>
      <c r="G36" s="13"/>
      <c r="H36" s="32">
        <f t="shared" si="0"/>
        <v>0.25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/>
      <c r="E37" s="13"/>
      <c r="F37" s="13"/>
      <c r="G37" s="13"/>
      <c r="H37" s="32">
        <f t="shared" si="0"/>
        <v>0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>
        <v>0</v>
      </c>
      <c r="E38" s="13"/>
      <c r="F38" s="13"/>
      <c r="G38" s="13"/>
      <c r="H38" s="32">
        <f t="shared" si="0"/>
        <v>0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55" t="str">
        <f>+Inscritos!B37</f>
        <v>Valeria Prada Garnica</v>
      </c>
      <c r="C39" s="14">
        <f>+Inscritos!D37</f>
        <v>1038113397</v>
      </c>
      <c r="D39" s="13"/>
      <c r="E39" s="13"/>
      <c r="F39" s="13"/>
      <c r="G39" s="13"/>
      <c r="H39" s="32">
        <f t="shared" si="0"/>
        <v>0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  <row r="40" spans="1:31" ht="15.6" x14ac:dyDescent="0.3">
      <c r="A40" s="51">
        <v>35</v>
      </c>
      <c r="B40" t="s">
        <v>105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topLeftCell="C3" zoomScale="140" zoomScaleNormal="140" workbookViewId="0">
      <selection activeCell="C59" sqref="C59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93" t="s">
        <v>18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</row>
    <row r="2" spans="1:20" ht="20.100000000000001" customHeight="1" x14ac:dyDescent="0.4">
      <c r="A2" s="130" t="s">
        <v>13</v>
      </c>
      <c r="B2" s="89" t="s">
        <v>21</v>
      </c>
      <c r="C2" s="65" t="s">
        <v>3</v>
      </c>
      <c r="D2" s="121" t="str">
        <f>Asistencia!D2</f>
        <v>NOMBRE DOCENTE</v>
      </c>
      <c r="E2" s="122"/>
      <c r="F2" s="123"/>
      <c r="G2" s="121" t="str">
        <f>Asistencia!I2</f>
        <v>NOMBRE DOCENTE</v>
      </c>
      <c r="H2" s="122"/>
      <c r="I2" s="122"/>
      <c r="J2" s="122"/>
      <c r="K2" s="123"/>
      <c r="L2" s="121" t="s">
        <v>19</v>
      </c>
      <c r="M2" s="122"/>
      <c r="N2" s="122"/>
      <c r="O2" s="122"/>
      <c r="P2" s="123"/>
      <c r="Q2" s="121" t="str">
        <f>Asistencia!AA2</f>
        <v>NOMBRE DOCENTE</v>
      </c>
      <c r="R2" s="122"/>
      <c r="S2" s="122"/>
      <c r="T2" s="123"/>
    </row>
    <row r="3" spans="1:20" ht="15" customHeight="1" x14ac:dyDescent="0.3">
      <c r="A3" s="131"/>
      <c r="B3" s="90"/>
      <c r="C3" s="66"/>
      <c r="D3" s="138" t="s">
        <v>7</v>
      </c>
      <c r="E3" s="139"/>
      <c r="F3" s="140"/>
      <c r="G3" s="132" t="s">
        <v>2</v>
      </c>
      <c r="H3" s="133"/>
      <c r="I3" s="133"/>
      <c r="J3" s="133"/>
      <c r="K3" s="134"/>
      <c r="L3" s="115" t="s">
        <v>1</v>
      </c>
      <c r="M3" s="116"/>
      <c r="N3" s="116"/>
      <c r="O3" s="116"/>
      <c r="P3" s="117"/>
      <c r="Q3" s="124" t="s">
        <v>0</v>
      </c>
      <c r="R3" s="125"/>
      <c r="S3" s="125"/>
      <c r="T3" s="126"/>
    </row>
    <row r="4" spans="1:20" ht="15" customHeight="1" x14ac:dyDescent="0.3">
      <c r="A4" s="131"/>
      <c r="B4" s="90"/>
      <c r="C4" s="66"/>
      <c r="D4" s="141"/>
      <c r="E4" s="142"/>
      <c r="F4" s="143"/>
      <c r="G4" s="135"/>
      <c r="H4" s="136"/>
      <c r="I4" s="136"/>
      <c r="J4" s="136"/>
      <c r="K4" s="137"/>
      <c r="L4" s="118"/>
      <c r="M4" s="119"/>
      <c r="N4" s="119"/>
      <c r="O4" s="119"/>
      <c r="P4" s="120"/>
      <c r="Q4" s="127"/>
      <c r="R4" s="128"/>
      <c r="S4" s="128"/>
      <c r="T4" s="129"/>
    </row>
    <row r="5" spans="1:20" ht="15.75" customHeight="1" x14ac:dyDescent="0.3">
      <c r="A5" s="131"/>
      <c r="B5" s="90"/>
      <c r="C5" s="66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/>
      <c r="I37" s="6"/>
      <c r="J37" s="6"/>
      <c r="K37" s="27">
        <f t="shared" si="0"/>
        <v>0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 t="e">
        <f>Inscritos!#REF!</f>
        <v>#REF!</v>
      </c>
      <c r="C41" s="14" t="e">
        <f>+Inscritos!#REF!</f>
        <v>#REF!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 t="e">
        <f>Inscritos!#REF!</f>
        <v>#REF!</v>
      </c>
      <c r="C42" s="14" t="e">
        <f>+Inscritos!#REF!</f>
        <v>#REF!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 t="str">
        <f>Inscritos!I38</f>
        <v>Vinculo para reportar resultados del PIVU</v>
      </c>
      <c r="C43" s="14">
        <f>+Inscritos!D39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Inscritos!B40</f>
        <v>0</v>
      </c>
      <c r="C44" s="14">
        <f>+Inscritos!D40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Inscritos!B41</f>
        <v>0</v>
      </c>
      <c r="C45" s="14">
        <f>+Inscritos!D41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Inscritos!B42</f>
        <v>0</v>
      </c>
      <c r="C46" s="14">
        <f>+Inscritos!D42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Inscritos!B43</f>
        <v>0</v>
      </c>
      <c r="C47" s="14">
        <f>+Inscritos!D43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Inscritos!B44</f>
        <v>0</v>
      </c>
      <c r="C48" s="14">
        <f>+Inscritos!D44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Inscritos!B45</f>
        <v>0</v>
      </c>
      <c r="C49" s="14">
        <f>+Inscritos!D45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Inscritos!B46</f>
        <v>0</v>
      </c>
      <c r="C50" s="14">
        <f>+Inscritos!D46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Inscritos!B47</f>
        <v>0</v>
      </c>
      <c r="C51" s="14">
        <f>+Inscritos!D47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Inscritos!B48</f>
        <v>0</v>
      </c>
      <c r="C52" s="14">
        <f>+Inscritos!D48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Inscritos!B49</f>
        <v>0</v>
      </c>
      <c r="C53" s="14">
        <f>+Inscritos!D49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Inscritos!B50</f>
        <v>0</v>
      </c>
      <c r="C54" s="14">
        <f>+Inscritos!D50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Inscritos!B51</f>
        <v>0</v>
      </c>
      <c r="C55" s="14">
        <f>+Inscritos!D51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Inscritos!B52</f>
        <v>0</v>
      </c>
      <c r="C56" s="14">
        <f>+Inscritos!D52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Inscritos!B53</f>
        <v>0</v>
      </c>
      <c r="C57" s="14">
        <f>+Inscritos!D53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Inscritos!B54</f>
        <v>0</v>
      </c>
      <c r="C58" s="14">
        <f>+Inscritos!D54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Inscritos!B55</f>
        <v>0</v>
      </c>
      <c r="C59" s="14">
        <f>+Inscritos!D55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Inscritos!B56</f>
        <v>0</v>
      </c>
      <c r="C60" s="14">
        <f>+Inscritos!D56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Inscritos!B57</f>
        <v>0</v>
      </c>
      <c r="C61" s="14">
        <f>+Inscritos!D57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Inscritos!B58</f>
        <v>0</v>
      </c>
      <c r="C62" s="14">
        <f>+Inscritos!D58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Inscritos!B59</f>
        <v>0</v>
      </c>
      <c r="C63" s="14">
        <f>+Inscritos!D59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Inscritos!B60</f>
        <v>0</v>
      </c>
      <c r="C64" s="14">
        <f>+Inscritos!D60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Inscritos!B61</f>
        <v>0</v>
      </c>
      <c r="C65" s="14">
        <f>+Inscritos!D61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97" t="s">
        <v>24</v>
      </c>
      <c r="E66" s="100" t="s">
        <v>12</v>
      </c>
      <c r="G66" s="94" t="s">
        <v>8</v>
      </c>
      <c r="H66" s="109" t="s">
        <v>9</v>
      </c>
      <c r="I66" s="109" t="s">
        <v>10</v>
      </c>
      <c r="J66" s="94" t="s">
        <v>11</v>
      </c>
      <c r="L66" s="103" t="s">
        <v>8</v>
      </c>
      <c r="M66" s="106" t="s">
        <v>9</v>
      </c>
      <c r="N66" s="106" t="s">
        <v>10</v>
      </c>
      <c r="O66" s="103" t="s">
        <v>11</v>
      </c>
      <c r="Q66" s="112" t="s">
        <v>24</v>
      </c>
      <c r="R66" s="112" t="s">
        <v>4</v>
      </c>
      <c r="S66" s="112" t="s">
        <v>5</v>
      </c>
    </row>
    <row r="67" spans="1:20" x14ac:dyDescent="0.3">
      <c r="D67" s="98"/>
      <c r="E67" s="101"/>
      <c r="G67" s="95"/>
      <c r="H67" s="110"/>
      <c r="I67" s="110"/>
      <c r="J67" s="95"/>
      <c r="L67" s="104"/>
      <c r="M67" s="107"/>
      <c r="N67" s="107"/>
      <c r="O67" s="104"/>
      <c r="Q67" s="113"/>
      <c r="R67" s="113"/>
      <c r="S67" s="113"/>
    </row>
    <row r="68" spans="1:20" x14ac:dyDescent="0.3">
      <c r="D68" s="98"/>
      <c r="E68" s="101"/>
      <c r="G68" s="95"/>
      <c r="H68" s="110"/>
      <c r="I68" s="110"/>
      <c r="J68" s="95"/>
      <c r="L68" s="104"/>
      <c r="M68" s="107"/>
      <c r="N68" s="107"/>
      <c r="O68" s="104"/>
      <c r="Q68" s="113"/>
      <c r="R68" s="113"/>
      <c r="S68" s="113"/>
    </row>
    <row r="69" spans="1:20" x14ac:dyDescent="0.3">
      <c r="D69" s="98"/>
      <c r="E69" s="101"/>
      <c r="G69" s="95"/>
      <c r="H69" s="110"/>
      <c r="I69" s="110"/>
      <c r="J69" s="95"/>
      <c r="L69" s="104"/>
      <c r="M69" s="107"/>
      <c r="N69" s="107"/>
      <c r="O69" s="104"/>
      <c r="Q69" s="113"/>
      <c r="R69" s="113"/>
      <c r="S69" s="113"/>
    </row>
    <row r="70" spans="1:20" x14ac:dyDescent="0.3">
      <c r="D70" s="98"/>
      <c r="E70" s="101"/>
      <c r="G70" s="95"/>
      <c r="H70" s="110"/>
      <c r="I70" s="110"/>
      <c r="J70" s="95"/>
      <c r="L70" s="104"/>
      <c r="M70" s="107"/>
      <c r="N70" s="107"/>
      <c r="O70" s="104"/>
      <c r="Q70" s="113"/>
      <c r="R70" s="113"/>
      <c r="S70" s="113"/>
    </row>
    <row r="71" spans="1:20" x14ac:dyDescent="0.3">
      <c r="D71" s="98"/>
      <c r="E71" s="101"/>
      <c r="G71" s="95"/>
      <c r="H71" s="110"/>
      <c r="I71" s="110"/>
      <c r="J71" s="95"/>
      <c r="L71" s="104"/>
      <c r="M71" s="107"/>
      <c r="N71" s="107"/>
      <c r="O71" s="104"/>
      <c r="Q71" s="113"/>
      <c r="R71" s="113"/>
      <c r="S71" s="113"/>
    </row>
    <row r="72" spans="1:20" x14ac:dyDescent="0.3">
      <c r="D72" s="98"/>
      <c r="E72" s="101"/>
      <c r="G72" s="95"/>
      <c r="H72" s="110"/>
      <c r="I72" s="110"/>
      <c r="J72" s="95"/>
      <c r="L72" s="104"/>
      <c r="M72" s="107"/>
      <c r="N72" s="107"/>
      <c r="O72" s="104"/>
      <c r="Q72" s="113"/>
      <c r="R72" s="113"/>
      <c r="S72" s="113"/>
    </row>
    <row r="73" spans="1:20" x14ac:dyDescent="0.3">
      <c r="D73" s="98"/>
      <c r="E73" s="101"/>
      <c r="G73" s="95"/>
      <c r="H73" s="110"/>
      <c r="I73" s="110"/>
      <c r="J73" s="95"/>
      <c r="L73" s="104"/>
      <c r="M73" s="107"/>
      <c r="N73" s="107"/>
      <c r="O73" s="104"/>
      <c r="Q73" s="113"/>
      <c r="R73" s="113"/>
      <c r="S73" s="113"/>
    </row>
    <row r="74" spans="1:20" x14ac:dyDescent="0.3">
      <c r="D74" s="98"/>
      <c r="E74" s="101"/>
      <c r="G74" s="95"/>
      <c r="H74" s="110"/>
      <c r="I74" s="110"/>
      <c r="J74" s="95"/>
      <c r="L74" s="104"/>
      <c r="M74" s="107"/>
      <c r="N74" s="107"/>
      <c r="O74" s="104"/>
      <c r="Q74" s="113"/>
      <c r="R74" s="113"/>
      <c r="S74" s="113"/>
    </row>
    <row r="75" spans="1:20" ht="15" thickBot="1" x14ac:dyDescent="0.35">
      <c r="D75" s="99"/>
      <c r="E75" s="102"/>
      <c r="G75" s="96"/>
      <c r="H75" s="111"/>
      <c r="I75" s="111"/>
      <c r="J75" s="96"/>
      <c r="L75" s="105"/>
      <c r="M75" s="108"/>
      <c r="N75" s="108"/>
      <c r="O75" s="105"/>
      <c r="Q75" s="114"/>
      <c r="R75" s="114"/>
      <c r="S75" s="114"/>
    </row>
  </sheetData>
  <sortState xmlns:xlrd2="http://schemas.microsoft.com/office/spreadsheetml/2017/richdata2" ref="B6:T60">
    <sortCondition ref="B6"/>
  </sortState>
  <mergeCells count="25">
    <mergeCell ref="G2:K2"/>
    <mergeCell ref="D2:F2"/>
    <mergeCell ref="Q3:T4"/>
    <mergeCell ref="O66:O75"/>
    <mergeCell ref="A2:A5"/>
    <mergeCell ref="G3:K4"/>
    <mergeCell ref="D3:F4"/>
    <mergeCell ref="B2:B5"/>
    <mergeCell ref="C2:C5"/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2026-04-20T23:47:25Z</dcterms:modified>
</cp:coreProperties>
</file>