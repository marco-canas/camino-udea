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70D4DA88-E0DF-4EB6-93CF-45B1295C9DB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<sst xmlns="http://schemas.openxmlformats.org/spreadsheetml/2006/main" count="167" uniqueCount="108">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</sst>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3" t="s">
        <v>27</v>
      </c>
      <c r="B1" s="92"/>
      <c r="C1" s="92"/>
      <c r="D1" s="92"/>
      <c r="E1" s="92"/>
      <c r="F1" s="92"/>
      <c r="G1" s="92"/>
      <c r="H1" s="92"/>
    </row>
    <row r="2" spans="1:9" ht="19.8" x14ac:dyDescent="0.3">
      <c r="A2" s="92" t="s">
        <v>26</v>
      </c>
      <c r="B2" s="92"/>
      <c r="C2" s="92"/>
      <c r="D2" s="92"/>
      <c r="E2" s="92"/>
      <c r="F2" s="92"/>
      <c r="G2" s="92"/>
      <c r="H2" s="92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28" zoomScale="140" zoomScaleNormal="140" workbookViewId="0">
      <selection activeCell="D35" sqref="D35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18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21</v>
      </c>
      <c r="C2" s="66" t="s">
        <v>3</v>
      </c>
      <c r="D2" s="83" t="s">
        <v>19</v>
      </c>
      <c r="E2" s="84"/>
      <c r="F2" s="84"/>
      <c r="G2" s="84"/>
      <c r="H2" s="85"/>
      <c r="I2" s="68" t="s">
        <v>19</v>
      </c>
      <c r="J2" s="69"/>
      <c r="K2" s="69"/>
      <c r="L2" s="69"/>
      <c r="M2" s="69"/>
      <c r="N2" s="69"/>
      <c r="O2" s="69"/>
      <c r="P2" s="69"/>
      <c r="Q2" s="70"/>
      <c r="R2" s="77" t="s">
        <v>19</v>
      </c>
      <c r="S2" s="78"/>
      <c r="T2" s="78"/>
      <c r="U2" s="78"/>
      <c r="V2" s="78"/>
      <c r="W2" s="78"/>
      <c r="X2" s="78"/>
      <c r="Y2" s="78"/>
      <c r="Z2" s="79"/>
      <c r="AA2" s="58" t="s">
        <v>19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22</v>
      </c>
      <c r="E4" s="75"/>
      <c r="F4" s="75"/>
      <c r="G4" s="76"/>
      <c r="H4" s="1"/>
      <c r="I4" s="74" t="s">
        <v>23</v>
      </c>
      <c r="J4" s="75"/>
      <c r="K4" s="75"/>
      <c r="L4" s="75"/>
      <c r="M4" s="75"/>
      <c r="N4" s="75"/>
      <c r="O4" s="75"/>
      <c r="P4" s="76"/>
      <c r="Q4" s="3"/>
      <c r="R4" s="74" t="s">
        <v>23</v>
      </c>
      <c r="S4" s="75"/>
      <c r="T4" s="75"/>
      <c r="U4" s="75"/>
      <c r="V4" s="75"/>
      <c r="W4" s="75"/>
      <c r="X4" s="75"/>
      <c r="Y4" s="76"/>
      <c r="Z4" s="12"/>
      <c r="AA4" s="64" t="s">
        <v>23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2</v>
      </c>
      <c r="E7" s="13"/>
      <c r="F7" s="13"/>
      <c r="G7" s="13"/>
      <c r="H7" s="32">
        <f t="shared" ref="H7:H40" si="0">+SUM(D7:G7)/4</f>
        <v>0.5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5</v>
      </c>
      <c r="E8" s="13"/>
      <c r="F8" s="13"/>
      <c r="G8" s="13"/>
      <c r="H8" s="32">
        <f t="shared" si="0"/>
        <v>1.25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4</v>
      </c>
      <c r="E11" s="13"/>
      <c r="F11" s="13"/>
      <c r="G11" s="13"/>
      <c r="H11" s="32">
        <f t="shared" si="0"/>
        <v>1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0</v>
      </c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8</v>
      </c>
      <c r="E14" s="13"/>
      <c r="F14" s="13"/>
      <c r="G14" s="13"/>
      <c r="H14" s="32">
        <f t="shared" si="0"/>
        <v>2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3</v>
      </c>
      <c r="E15" s="13"/>
      <c r="F15" s="13"/>
      <c r="G15" s="13"/>
      <c r="H15" s="32">
        <f t="shared" si="0"/>
        <v>0.75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1</v>
      </c>
      <c r="E17" s="13"/>
      <c r="F17" s="13"/>
      <c r="G17" s="13"/>
      <c r="H17" s="32">
        <f t="shared" si="0"/>
        <v>0.25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5</v>
      </c>
      <c r="E20" s="13"/>
      <c r="F20" s="13"/>
      <c r="G20" s="13"/>
      <c r="H20" s="32">
        <f t="shared" si="0"/>
        <v>1.25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0</v>
      </c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2</v>
      </c>
      <c r="E23" s="13"/>
      <c r="F23" s="13"/>
      <c r="G23" s="13"/>
      <c r="H23" s="32">
        <f t="shared" si="0"/>
        <v>0.5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>
        <v>1</v>
      </c>
      <c r="E24" s="13"/>
      <c r="F24" s="13"/>
      <c r="G24" s="13"/>
      <c r="H24" s="32">
        <f t="shared" si="0"/>
        <v>0.25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2</v>
      </c>
      <c r="E28" s="13"/>
      <c r="F28" s="13"/>
      <c r="G28" s="13"/>
      <c r="H28" s="32">
        <f t="shared" si="0"/>
        <v>0.5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5</v>
      </c>
      <c r="E29" s="13"/>
      <c r="F29" s="13"/>
      <c r="G29" s="13"/>
      <c r="H29" s="32">
        <f t="shared" si="0"/>
        <v>1.25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9</v>
      </c>
      <c r="E32" s="13"/>
      <c r="F32" s="13"/>
      <c r="G32" s="13"/>
      <c r="H32" s="32">
        <f t="shared" si="0"/>
        <v>2.25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0</v>
      </c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5</v>
      </c>
      <c r="E35" s="13"/>
      <c r="F35" s="13"/>
      <c r="G35" s="13"/>
      <c r="H35" s="32">
        <f t="shared" si="0"/>
        <v>1.25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3</v>
      </c>
      <c r="E36" s="13"/>
      <c r="F36" s="13"/>
      <c r="G36" s="13"/>
      <c r="H36" s="32">
        <f t="shared" si="0"/>
        <v>0.75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3</v>
      </c>
      <c r="E39" s="13"/>
      <c r="F39" s="13"/>
      <c r="G39" s="13"/>
      <c r="H39" s="32">
        <f t="shared" si="0"/>
        <v>0.75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57">
        <v>0</v>
      </c>
      <c r="H40" s="2">
        <f t="shared" si="0"/>
        <v>0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25" zoomScale="140" zoomScaleNormal="140" workbookViewId="0">
      <selection activeCell="H38" sqref="H38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0" t="s">
        <v>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ht="20.100000000000001" customHeight="1" x14ac:dyDescent="0.4">
      <c r="A2" s="106" t="s">
        <v>13</v>
      </c>
      <c r="B2" s="90" t="s">
        <v>21</v>
      </c>
      <c r="C2" s="66" t="s">
        <v>3</v>
      </c>
      <c r="D2" s="94" t="str">
        <f>Asistencia!D2</f>
        <v>NOMBRE DOCENTE</v>
      </c>
      <c r="E2" s="95"/>
      <c r="F2" s="96"/>
      <c r="G2" s="94" t="str">
        <f>Asistencia!I2</f>
        <v>NOMBRE DOCENTE</v>
      </c>
      <c r="H2" s="95"/>
      <c r="I2" s="95"/>
      <c r="J2" s="95"/>
      <c r="K2" s="96"/>
      <c r="L2" s="94" t="s">
        <v>19</v>
      </c>
      <c r="M2" s="95"/>
      <c r="N2" s="95"/>
      <c r="O2" s="95"/>
      <c r="P2" s="96"/>
      <c r="Q2" s="94" t="str">
        <f>Asistencia!AA2</f>
        <v>NOMBRE DOCENTE</v>
      </c>
      <c r="R2" s="95"/>
      <c r="S2" s="95"/>
      <c r="T2" s="96"/>
    </row>
    <row r="3" spans="1:20" ht="15" customHeight="1" x14ac:dyDescent="0.3">
      <c r="A3" s="107"/>
      <c r="B3" s="91"/>
      <c r="C3" s="67"/>
      <c r="D3" s="114" t="s">
        <v>7</v>
      </c>
      <c r="E3" s="115"/>
      <c r="F3" s="116"/>
      <c r="G3" s="108" t="s">
        <v>2</v>
      </c>
      <c r="H3" s="109"/>
      <c r="I3" s="109"/>
      <c r="J3" s="109"/>
      <c r="K3" s="110"/>
      <c r="L3" s="139" t="s">
        <v>1</v>
      </c>
      <c r="M3" s="140"/>
      <c r="N3" s="140"/>
      <c r="O3" s="140"/>
      <c r="P3" s="141"/>
      <c r="Q3" s="97" t="s">
        <v>0</v>
      </c>
      <c r="R3" s="98"/>
      <c r="S3" s="98"/>
      <c r="T3" s="99"/>
    </row>
    <row r="4" spans="1:20" ht="15" customHeight="1" x14ac:dyDescent="0.3">
      <c r="A4" s="107"/>
      <c r="B4" s="91"/>
      <c r="C4" s="67"/>
      <c r="D4" s="117"/>
      <c r="E4" s="118"/>
      <c r="F4" s="119"/>
      <c r="G4" s="111"/>
      <c r="H4" s="112"/>
      <c r="I4" s="112"/>
      <c r="J4" s="112"/>
      <c r="K4" s="113"/>
      <c r="L4" s="142"/>
      <c r="M4" s="143"/>
      <c r="N4" s="143"/>
      <c r="O4" s="143"/>
      <c r="P4" s="144"/>
      <c r="Q4" s="100"/>
      <c r="R4" s="101"/>
      <c r="S4" s="101"/>
      <c r="T4" s="102"/>
    </row>
    <row r="5" spans="1:20" ht="15.75" customHeight="1" x14ac:dyDescent="0.3">
      <c r="A5" s="107"/>
      <c r="B5" s="91"/>
      <c r="C5" s="67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>
        <v>3.7</v>
      </c>
      <c r="I37" s="6"/>
      <c r="J37" s="6"/>
      <c r="K37" s="27">
        <f t="shared" si="0"/>
        <v>0.92500000000000004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4" t="s">
        <v>24</v>
      </c>
      <c r="E66" s="127" t="s">
        <v>12</v>
      </c>
      <c r="G66" s="121" t="s">
        <v>8</v>
      </c>
      <c r="H66" s="133" t="s">
        <v>9</v>
      </c>
      <c r="I66" s="133" t="s">
        <v>10</v>
      </c>
      <c r="J66" s="121" t="s">
        <v>11</v>
      </c>
      <c r="L66" s="103" t="s">
        <v>8</v>
      </c>
      <c r="M66" s="130" t="s">
        <v>9</v>
      </c>
      <c r="N66" s="130" t="s">
        <v>10</v>
      </c>
      <c r="O66" s="103" t="s">
        <v>11</v>
      </c>
      <c r="Q66" s="136" t="s">
        <v>24</v>
      </c>
      <c r="R66" s="136" t="s">
        <v>4</v>
      </c>
      <c r="S66" s="136" t="s">
        <v>5</v>
      </c>
    </row>
    <row r="67" spans="1:20" x14ac:dyDescent="0.3">
      <c r="D67" s="125"/>
      <c r="E67" s="128"/>
      <c r="G67" s="122"/>
      <c r="H67" s="134"/>
      <c r="I67" s="134"/>
      <c r="J67" s="122"/>
      <c r="L67" s="104"/>
      <c r="M67" s="131"/>
      <c r="N67" s="131"/>
      <c r="O67" s="104"/>
      <c r="Q67" s="137"/>
      <c r="R67" s="137"/>
      <c r="S67" s="137"/>
    </row>
    <row r="68" spans="1:20" x14ac:dyDescent="0.3">
      <c r="D68" s="125"/>
      <c r="E68" s="128"/>
      <c r="G68" s="122"/>
      <c r="H68" s="134"/>
      <c r="I68" s="134"/>
      <c r="J68" s="122"/>
      <c r="L68" s="104"/>
      <c r="M68" s="131"/>
      <c r="N68" s="131"/>
      <c r="O68" s="104"/>
      <c r="Q68" s="137"/>
      <c r="R68" s="137"/>
      <c r="S68" s="137"/>
    </row>
    <row r="69" spans="1:20" x14ac:dyDescent="0.3">
      <c r="D69" s="125"/>
      <c r="E69" s="128"/>
      <c r="G69" s="122"/>
      <c r="H69" s="134"/>
      <c r="I69" s="134"/>
      <c r="J69" s="122"/>
      <c r="L69" s="104"/>
      <c r="M69" s="131"/>
      <c r="N69" s="131"/>
      <c r="O69" s="104"/>
      <c r="Q69" s="137"/>
      <c r="R69" s="137"/>
      <c r="S69" s="137"/>
    </row>
    <row r="70" spans="1:20" x14ac:dyDescent="0.3">
      <c r="D70" s="125"/>
      <c r="E70" s="128"/>
      <c r="G70" s="122"/>
      <c r="H70" s="134"/>
      <c r="I70" s="134"/>
      <c r="J70" s="122"/>
      <c r="L70" s="104"/>
      <c r="M70" s="131"/>
      <c r="N70" s="131"/>
      <c r="O70" s="104"/>
      <c r="Q70" s="137"/>
      <c r="R70" s="137"/>
      <c r="S70" s="137"/>
    </row>
    <row r="71" spans="1:20" x14ac:dyDescent="0.3">
      <c r="D71" s="125"/>
      <c r="E71" s="128"/>
      <c r="G71" s="122"/>
      <c r="H71" s="134"/>
      <c r="I71" s="134"/>
      <c r="J71" s="122"/>
      <c r="L71" s="104"/>
      <c r="M71" s="131"/>
      <c r="N71" s="131"/>
      <c r="O71" s="104"/>
      <c r="Q71" s="137"/>
      <c r="R71" s="137"/>
      <c r="S71" s="137"/>
    </row>
    <row r="72" spans="1:20" x14ac:dyDescent="0.3">
      <c r="D72" s="125"/>
      <c r="E72" s="128"/>
      <c r="G72" s="122"/>
      <c r="H72" s="134"/>
      <c r="I72" s="134"/>
      <c r="J72" s="122"/>
      <c r="L72" s="104"/>
      <c r="M72" s="131"/>
      <c r="N72" s="131"/>
      <c r="O72" s="104"/>
      <c r="Q72" s="137"/>
      <c r="R72" s="137"/>
      <c r="S72" s="137"/>
    </row>
    <row r="73" spans="1:20" x14ac:dyDescent="0.3">
      <c r="D73" s="125"/>
      <c r="E73" s="128"/>
      <c r="G73" s="122"/>
      <c r="H73" s="134"/>
      <c r="I73" s="134"/>
      <c r="J73" s="122"/>
      <c r="L73" s="104"/>
      <c r="M73" s="131"/>
      <c r="N73" s="131"/>
      <c r="O73" s="104"/>
      <c r="Q73" s="137"/>
      <c r="R73" s="137"/>
      <c r="S73" s="137"/>
    </row>
    <row r="74" spans="1:20" x14ac:dyDescent="0.3">
      <c r="D74" s="125"/>
      <c r="E74" s="128"/>
      <c r="G74" s="122"/>
      <c r="H74" s="134"/>
      <c r="I74" s="134"/>
      <c r="J74" s="122"/>
      <c r="L74" s="104"/>
      <c r="M74" s="131"/>
      <c r="N74" s="131"/>
      <c r="O74" s="104"/>
      <c r="Q74" s="137"/>
      <c r="R74" s="137"/>
      <c r="S74" s="137"/>
    </row>
    <row r="75" spans="1:20" ht="15" thickBot="1" x14ac:dyDescent="0.35">
      <c r="D75" s="126"/>
      <c r="E75" s="129"/>
      <c r="G75" s="123"/>
      <c r="H75" s="135"/>
      <c r="I75" s="135"/>
      <c r="J75" s="123"/>
      <c r="L75" s="105"/>
      <c r="M75" s="132"/>
      <c r="N75" s="132"/>
      <c r="O75" s="105"/>
      <c r="Q75" s="138"/>
      <c r="R75" s="138"/>
      <c r="S75" s="138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2026-05-06T00:40:17Z</dcterms:modified>
</cp:coreProperties>
</file>