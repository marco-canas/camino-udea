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AC8DFFB4-A832-4176-84F5-A0EA65CEAD52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" l="1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<sst xmlns="http://schemas.openxmlformats.org/spreadsheetml/2006/main" count="167" uniqueCount="108">
  <si>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</si>
  <si>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</si>
  <si>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</si>
  <si>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</si>
  <si>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</si>
  <si>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</si>
  <si>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</si>
  <si>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</si>
  <si>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</si>
  <si>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</si>
  <si>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</si>
  <si>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</si>
  <si>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</si>
  <si>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</si>
  <si>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</si>
  <si>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</si>
  <si>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</si>
  <si>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</si>
  <si>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</si>
  <si>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</si>
  <si>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</si>
  <si>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</si>
  <si>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</si>
  <si>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</si>
  <si>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</si>
  <si>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</si>
  <si>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</si>
  <si>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</si>
  <si>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</si>
  <si>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</si>
  <si>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</si>
  <si>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</si>
  <si>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</si>
  <si>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</si>
  <si>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</si>
  <si>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</si>
  <si>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</si>
  <si>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</si>
  <si>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</si>
  <si>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</si>
  <si>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</si>
  <si>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</si>
  <si>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</si>
  <si>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</si>
  <si>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</si>
  <si>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</si>
  <si>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</si>
  <si>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</si>
  <si>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</si>
  <si>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</si>
  <si>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</si>
  <si>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</si>
  <si>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</si>
  <si>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</si>
  <si>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</si>
  <si>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</si>
  <si>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</si>
  <si>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</si>
  <si>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</si>
  <si>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</si>
  <si>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</si>
  <si>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</si>
  <si>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</si>
  <si>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</si>
  <si>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</si>
  <si>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</si>
  <si>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</si>
  <si>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</si>
  <si>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</si>
  <si>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</si>
  <si>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</si>
  <si>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</si>
  <si>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</si>
  <si>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</si>
  <si>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</si>
  <si>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</si>
  <si>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</si>
  <si>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</si>
  <si>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</si>
  <si>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</si>
  <si>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</si>
  <si>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</si>
  <si>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</si>
  <si>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</si>
  <si>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</si>
  <si>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</si>
  <si>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</si>
  <si>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</si>
  <si>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</si>
  <si>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</si>
  <si>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</si>
  <si>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</si>
  <si>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</si>
  <si>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</si>
  <si>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</si>
  <si>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</si>
  <si>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</si>
  <si>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</si>
  <si>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</si>
  <si>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</si>
  <si>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</si>
  <si>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</si>
  <si>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</si>
  <si>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</si>
  <si>
    <t>resolver problema con su correo</t>
  </si>
  <si>
    <t>yenifer aguirre</t>
  </si>
  <si>
    <t>Vinculo para reportar resultados del PIVU</t>
  </si>
  <si>
    <t>https://drive.google.com/drive/folders/1DKjhk5WYX2JoeEOOIpX-ryXIQZSD91NS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</si>
</sst>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9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  <font>
      <u/>
      <sz val="10"/>
      <color indexed="8"/>
      <name val="Calibri"/>
      <family val="2"/>
    </font>
    <font>
      <u/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3" fillId="12" borderId="1" xfId="0" applyFont="1" applyFill="1" applyBorder="1"/>
    <xf numFmtId="0" fontId="23" fillId="8" borderId="1" xfId="0" applyFont="1" applyFill="1" applyBorder="1"/>
    <xf numFmtId="0" fontId="27" fillId="0" borderId="1" xfId="0" applyFont="1" applyBorder="1" applyAlignment="1">
      <alignment horizontal="justify" vertical="center"/>
    </xf>
    <xf numFmtId="0" fontId="28" fillId="0" borderId="1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"/>
  <sheetViews>
    <sheetView workbookViewId="0">
      <selection activeCell="B4" sqref="B4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29.21875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93" t="s">
        <v>27</v>
      </c>
      <c r="B1" s="92"/>
      <c r="C1" s="92"/>
      <c r="D1" s="92"/>
      <c r="E1" s="92"/>
      <c r="F1" s="92"/>
      <c r="G1" s="92"/>
      <c r="H1" s="92"/>
    </row>
    <row r="2" spans="1:9" ht="19.8" x14ac:dyDescent="0.3">
      <c r="A2" s="92" t="s">
        <v>26</v>
      </c>
      <c r="B2" s="92"/>
      <c r="C2" s="92"/>
      <c r="D2" s="92"/>
      <c r="E2" s="92"/>
      <c r="F2" s="92"/>
      <c r="G2" s="92"/>
      <c r="H2" s="92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54" t="s">
        <v>104</v>
      </c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53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53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53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9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9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9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9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9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  <c r="I37" s="45" t="s">
        <v>107</v>
      </c>
    </row>
    <row r="38" spans="1:9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  <c r="I38" s="45" t="s">
        <v>106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28" zoomScale="140" zoomScaleNormal="140" workbookViewId="0">
      <selection activeCell="D41" sqref="D41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5" t="s">
        <v>18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ht="20.100000000000001" customHeight="1" x14ac:dyDescent="0.4">
      <c r="A2" s="66" t="s">
        <v>13</v>
      </c>
      <c r="B2" s="90" t="s">
        <v>21</v>
      </c>
      <c r="C2" s="66" t="s">
        <v>3</v>
      </c>
      <c r="D2" s="83" t="s">
        <v>19</v>
      </c>
      <c r="E2" s="84"/>
      <c r="F2" s="84"/>
      <c r="G2" s="84"/>
      <c r="H2" s="85"/>
      <c r="I2" s="68" t="s">
        <v>19</v>
      </c>
      <c r="J2" s="69"/>
      <c r="K2" s="69"/>
      <c r="L2" s="69"/>
      <c r="M2" s="69"/>
      <c r="N2" s="69"/>
      <c r="O2" s="69"/>
      <c r="P2" s="69"/>
      <c r="Q2" s="70"/>
      <c r="R2" s="77" t="s">
        <v>19</v>
      </c>
      <c r="S2" s="78"/>
      <c r="T2" s="78"/>
      <c r="U2" s="78"/>
      <c r="V2" s="78"/>
      <c r="W2" s="78"/>
      <c r="X2" s="78"/>
      <c r="Y2" s="78"/>
      <c r="Z2" s="79"/>
      <c r="AA2" s="58" t="s">
        <v>19</v>
      </c>
      <c r="AB2" s="59"/>
      <c r="AC2" s="59"/>
      <c r="AD2" s="59"/>
      <c r="AE2" s="60"/>
    </row>
    <row r="3" spans="1:31" ht="15" customHeight="1" x14ac:dyDescent="0.3">
      <c r="A3" s="67"/>
      <c r="B3" s="91"/>
      <c r="C3" s="67"/>
      <c r="D3" s="86" t="s">
        <v>7</v>
      </c>
      <c r="E3" s="87"/>
      <c r="F3" s="87"/>
      <c r="G3" s="87"/>
      <c r="H3" s="88"/>
      <c r="I3" s="71" t="s">
        <v>2</v>
      </c>
      <c r="J3" s="72"/>
      <c r="K3" s="72"/>
      <c r="L3" s="72"/>
      <c r="M3" s="72"/>
      <c r="N3" s="72"/>
      <c r="O3" s="72"/>
      <c r="P3" s="72"/>
      <c r="Q3" s="73"/>
      <c r="R3" s="80" t="s">
        <v>1</v>
      </c>
      <c r="S3" s="81"/>
      <c r="T3" s="81"/>
      <c r="U3" s="81"/>
      <c r="V3" s="81"/>
      <c r="W3" s="81"/>
      <c r="X3" s="81"/>
      <c r="Y3" s="81"/>
      <c r="Z3" s="82"/>
      <c r="AA3" s="61" t="s">
        <v>0</v>
      </c>
      <c r="AB3" s="62"/>
      <c r="AC3" s="62"/>
      <c r="AD3" s="62"/>
      <c r="AE3" s="63"/>
    </row>
    <row r="4" spans="1:31" ht="35.25" customHeight="1" x14ac:dyDescent="0.3">
      <c r="A4" s="67"/>
      <c r="B4" s="91"/>
      <c r="C4" s="67"/>
      <c r="D4" s="89" t="s">
        <v>22</v>
      </c>
      <c r="E4" s="75"/>
      <c r="F4" s="75"/>
      <c r="G4" s="76"/>
      <c r="H4" s="1"/>
      <c r="I4" s="74" t="s">
        <v>23</v>
      </c>
      <c r="J4" s="75"/>
      <c r="K4" s="75"/>
      <c r="L4" s="75"/>
      <c r="M4" s="75"/>
      <c r="N4" s="75"/>
      <c r="O4" s="75"/>
      <c r="P4" s="76"/>
      <c r="Q4" s="3"/>
      <c r="R4" s="74" t="s">
        <v>23</v>
      </c>
      <c r="S4" s="75"/>
      <c r="T4" s="75"/>
      <c r="U4" s="75"/>
      <c r="V4" s="75"/>
      <c r="W4" s="75"/>
      <c r="X4" s="75"/>
      <c r="Y4" s="76"/>
      <c r="Z4" s="12"/>
      <c r="AA4" s="64" t="s">
        <v>23</v>
      </c>
      <c r="AB4" s="64"/>
      <c r="AC4" s="64"/>
      <c r="AD4" s="64"/>
      <c r="AE4" s="3"/>
    </row>
    <row r="5" spans="1:31" ht="27.75" customHeight="1" x14ac:dyDescent="0.3">
      <c r="A5" s="67"/>
      <c r="B5" s="91"/>
      <c r="C5" s="67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>
        <v>0</v>
      </c>
      <c r="E7" s="13"/>
      <c r="F7" s="13"/>
      <c r="G7" s="13"/>
      <c r="H7" s="32">
        <f t="shared" ref="H7:H40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>
        <v>3</v>
      </c>
      <c r="E8" s="13"/>
      <c r="F8" s="13"/>
      <c r="G8" s="13"/>
      <c r="H8" s="32">
        <f t="shared" si="0"/>
        <v>0.75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>
        <v>0</v>
      </c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2</v>
      </c>
      <c r="E11" s="13"/>
      <c r="F11" s="13"/>
      <c r="G11" s="13"/>
      <c r="H11" s="32">
        <f t="shared" si="0"/>
        <v>0.5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>
        <v>0</v>
      </c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>
        <v>0</v>
      </c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6</v>
      </c>
      <c r="E14" s="13"/>
      <c r="F14" s="13"/>
      <c r="G14" s="13"/>
      <c r="H14" s="32">
        <f t="shared" si="0"/>
        <v>1.5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>
        <v>1</v>
      </c>
      <c r="E15" s="13"/>
      <c r="F15" s="13"/>
      <c r="G15" s="13"/>
      <c r="H15" s="32">
        <f t="shared" si="0"/>
        <v>0.25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>
        <v>0</v>
      </c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>
        <v>1</v>
      </c>
      <c r="E17" s="13"/>
      <c r="F17" s="13"/>
      <c r="G17" s="13"/>
      <c r="H17" s="32">
        <f t="shared" si="0"/>
        <v>0.25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>
        <v>0</v>
      </c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>
        <v>0</v>
      </c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3</v>
      </c>
      <c r="E20" s="13"/>
      <c r="F20" s="13"/>
      <c r="G20" s="13"/>
      <c r="H20" s="32">
        <f t="shared" si="0"/>
        <v>0.75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>
        <v>1</v>
      </c>
      <c r="E21" s="13"/>
      <c r="F21" s="13"/>
      <c r="G21" s="13"/>
      <c r="H21" s="32">
        <f t="shared" si="0"/>
        <v>0.25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>
        <v>1</v>
      </c>
      <c r="E22" s="13"/>
      <c r="F22" s="13"/>
      <c r="G22" s="13"/>
      <c r="H22" s="32">
        <f t="shared" si="0"/>
        <v>0.25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>
        <v>1</v>
      </c>
      <c r="E23" s="13"/>
      <c r="F23" s="13"/>
      <c r="G23" s="13"/>
      <c r="H23" s="32">
        <f t="shared" si="0"/>
        <v>0.25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>
        <v>1</v>
      </c>
      <c r="E25" s="13"/>
      <c r="F25" s="13"/>
      <c r="G25" s="13"/>
      <c r="H25" s="32">
        <f t="shared" si="0"/>
        <v>0.25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>
        <v>2</v>
      </c>
      <c r="E27" s="13"/>
      <c r="F27" s="13"/>
      <c r="G27" s="13"/>
      <c r="H27" s="32">
        <f t="shared" si="0"/>
        <v>0.5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>
        <v>1</v>
      </c>
      <c r="E28" s="13"/>
      <c r="F28" s="13"/>
      <c r="G28" s="13"/>
      <c r="H28" s="32">
        <f t="shared" si="0"/>
        <v>0.25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>
        <v>4</v>
      </c>
      <c r="E29" s="13"/>
      <c r="F29" s="13"/>
      <c r="G29" s="13"/>
      <c r="H29" s="32">
        <f t="shared" si="0"/>
        <v>1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3</v>
      </c>
      <c r="E30" s="13"/>
      <c r="F30" s="13"/>
      <c r="G30" s="13"/>
      <c r="H30" s="32">
        <f t="shared" si="0"/>
        <v>0.75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56">
        <v>1</v>
      </c>
      <c r="E31" s="13"/>
      <c r="F31" s="13"/>
      <c r="G31" s="13"/>
      <c r="H31" s="32">
        <f t="shared" si="0"/>
        <v>0.25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7</v>
      </c>
      <c r="E32" s="13"/>
      <c r="F32" s="13"/>
      <c r="G32" s="13"/>
      <c r="H32" s="32">
        <f t="shared" si="0"/>
        <v>1.75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1</v>
      </c>
      <c r="E33" s="13"/>
      <c r="F33" s="13"/>
      <c r="G33" s="13"/>
      <c r="H33" s="32">
        <f t="shared" si="0"/>
        <v>0.25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>
        <v>1</v>
      </c>
      <c r="E34" s="13"/>
      <c r="F34" s="13"/>
      <c r="G34" s="13"/>
      <c r="H34" s="32">
        <f t="shared" si="0"/>
        <v>0.25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>
        <v>3</v>
      </c>
      <c r="E35" s="13"/>
      <c r="F35" s="13"/>
      <c r="G35" s="13"/>
      <c r="H35" s="32">
        <f t="shared" si="0"/>
        <v>0.75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>
        <v>1</v>
      </c>
      <c r="E37" s="13"/>
      <c r="F37" s="13"/>
      <c r="G37" s="13"/>
      <c r="H37" s="32">
        <f t="shared" si="0"/>
        <v>0.25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>
        <v>1</v>
      </c>
      <c r="E38" s="13"/>
      <c r="F38" s="13"/>
      <c r="G38" s="13"/>
      <c r="H38" s="32">
        <f t="shared" si="0"/>
        <v>0.25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55" t="str">
        <f>+Inscritos!B37</f>
        <v>Valeria Prada Garnica</v>
      </c>
      <c r="C39" s="14">
        <f>+Inscritos!D37</f>
        <v>1038113397</v>
      </c>
      <c r="D39" s="13">
        <v>1</v>
      </c>
      <c r="E39" s="13"/>
      <c r="F39" s="13"/>
      <c r="G39" s="13"/>
      <c r="H39" s="32">
        <f t="shared" si="0"/>
        <v>0.25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  <c r="B40" t="s">
        <v>105</v>
      </c>
      <c r="D40" s="57">
        <v>0</v>
      </c>
      <c r="H40" s="2">
        <f t="shared" si="0"/>
        <v>0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abSelected="1" topLeftCell="C25" zoomScale="140" zoomScaleNormal="140" workbookViewId="0">
      <selection activeCell="H38" sqref="H38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120" t="s">
        <v>18</v>
      </c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</row>
    <row r="2" spans="1:20" ht="20.100000000000001" customHeight="1" x14ac:dyDescent="0.4">
      <c r="A2" s="106" t="s">
        <v>13</v>
      </c>
      <c r="B2" s="90" t="s">
        <v>21</v>
      </c>
      <c r="C2" s="66" t="s">
        <v>3</v>
      </c>
      <c r="D2" s="94" t="str">
        <f>Asistencia!D2</f>
        <v>NOMBRE DOCENTE</v>
      </c>
      <c r="E2" s="95"/>
      <c r="F2" s="96"/>
      <c r="G2" s="94" t="str">
        <f>Asistencia!I2</f>
        <v>NOMBRE DOCENTE</v>
      </c>
      <c r="H2" s="95"/>
      <c r="I2" s="95"/>
      <c r="J2" s="95"/>
      <c r="K2" s="96"/>
      <c r="L2" s="94" t="s">
        <v>19</v>
      </c>
      <c r="M2" s="95"/>
      <c r="N2" s="95"/>
      <c r="O2" s="95"/>
      <c r="P2" s="96"/>
      <c r="Q2" s="94" t="str">
        <f>Asistencia!AA2</f>
        <v>NOMBRE DOCENTE</v>
      </c>
      <c r="R2" s="95"/>
      <c r="S2" s="95"/>
      <c r="T2" s="96"/>
    </row>
    <row r="3" spans="1:20" ht="15" customHeight="1" x14ac:dyDescent="0.3">
      <c r="A3" s="107"/>
      <c r="B3" s="91"/>
      <c r="C3" s="67"/>
      <c r="D3" s="114" t="s">
        <v>7</v>
      </c>
      <c r="E3" s="115"/>
      <c r="F3" s="116"/>
      <c r="G3" s="108" t="s">
        <v>2</v>
      </c>
      <c r="H3" s="109"/>
      <c r="I3" s="109"/>
      <c r="J3" s="109"/>
      <c r="K3" s="110"/>
      <c r="L3" s="139" t="s">
        <v>1</v>
      </c>
      <c r="M3" s="140"/>
      <c r="N3" s="140"/>
      <c r="O3" s="140"/>
      <c r="P3" s="141"/>
      <c r="Q3" s="97" t="s">
        <v>0</v>
      </c>
      <c r="R3" s="98"/>
      <c r="S3" s="98"/>
      <c r="T3" s="99"/>
    </row>
    <row r="4" spans="1:20" ht="15" customHeight="1" x14ac:dyDescent="0.3">
      <c r="A4" s="107"/>
      <c r="B4" s="91"/>
      <c r="C4" s="67"/>
      <c r="D4" s="117"/>
      <c r="E4" s="118"/>
      <c r="F4" s="119"/>
      <c r="G4" s="111"/>
      <c r="H4" s="112"/>
      <c r="I4" s="112"/>
      <c r="J4" s="112"/>
      <c r="K4" s="113"/>
      <c r="L4" s="142"/>
      <c r="M4" s="143"/>
      <c r="N4" s="143"/>
      <c r="O4" s="143"/>
      <c r="P4" s="144"/>
      <c r="Q4" s="100"/>
      <c r="R4" s="101"/>
      <c r="S4" s="101"/>
      <c r="T4" s="102"/>
    </row>
    <row r="5" spans="1:20" ht="15.75" customHeight="1" x14ac:dyDescent="0.3">
      <c r="A5" s="107"/>
      <c r="B5" s="91"/>
      <c r="C5" s="67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>
        <v>3.7</v>
      </c>
      <c r="I37" s="6"/>
      <c r="J37" s="6"/>
      <c r="K37" s="27">
        <f t="shared" si="0"/>
        <v>0.92500000000000004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 t="e">
        <f>Inscritos!#REF!</f>
        <v>#REF!</v>
      </c>
      <c r="C41" s="14" t="e">
        <f>+Inscritos!#REF!</f>
        <v>#REF!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 t="e">
        <f>Inscritos!#REF!</f>
        <v>#REF!</v>
      </c>
      <c r="C42" s="14" t="e">
        <f>+Inscritos!#REF!</f>
        <v>#REF!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 t="str">
        <f>Inscritos!I38</f>
        <v>Vinculo para reportar resultados del PIVU</v>
      </c>
      <c r="C43" s="14">
        <f>+Inscritos!D39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Inscritos!B40</f>
        <v>0</v>
      </c>
      <c r="C44" s="14">
        <f>+Inscritos!D40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Inscritos!B41</f>
        <v>0</v>
      </c>
      <c r="C45" s="14">
        <f>+Inscritos!D41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Inscritos!B42</f>
        <v>0</v>
      </c>
      <c r="C46" s="14">
        <f>+Inscritos!D42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Inscritos!B43</f>
        <v>0</v>
      </c>
      <c r="C47" s="14">
        <f>+Inscritos!D43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Inscritos!B44</f>
        <v>0</v>
      </c>
      <c r="C48" s="14">
        <f>+Inscritos!D44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Inscritos!B45</f>
        <v>0</v>
      </c>
      <c r="C49" s="14">
        <f>+Inscritos!D45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Inscritos!B46</f>
        <v>0</v>
      </c>
      <c r="C50" s="14">
        <f>+Inscritos!D46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Inscritos!B47</f>
        <v>0</v>
      </c>
      <c r="C51" s="14">
        <f>+Inscritos!D47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Inscritos!B48</f>
        <v>0</v>
      </c>
      <c r="C52" s="14">
        <f>+Inscritos!D48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Inscritos!B49</f>
        <v>0</v>
      </c>
      <c r="C53" s="14">
        <f>+Inscritos!D49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Inscritos!B50</f>
        <v>0</v>
      </c>
      <c r="C54" s="14">
        <f>+Inscritos!D50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Inscritos!B51</f>
        <v>0</v>
      </c>
      <c r="C55" s="14">
        <f>+Inscritos!D51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Inscritos!B52</f>
        <v>0</v>
      </c>
      <c r="C56" s="14">
        <f>+Inscritos!D52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Inscritos!B53</f>
        <v>0</v>
      </c>
      <c r="C57" s="14">
        <f>+Inscritos!D53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Inscritos!B54</f>
        <v>0</v>
      </c>
      <c r="C58" s="14">
        <f>+Inscritos!D54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Inscritos!B55</f>
        <v>0</v>
      </c>
      <c r="C59" s="14">
        <f>+Inscritos!D55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Inscritos!B56</f>
        <v>0</v>
      </c>
      <c r="C60" s="14">
        <f>+Inscritos!D56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Inscritos!B57</f>
        <v>0</v>
      </c>
      <c r="C61" s="14">
        <f>+Inscritos!D57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Inscritos!B58</f>
        <v>0</v>
      </c>
      <c r="C62" s="14">
        <f>+Inscritos!D58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Inscritos!B59</f>
        <v>0</v>
      </c>
      <c r="C63" s="14">
        <f>+Inscritos!D59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Inscritos!B60</f>
        <v>0</v>
      </c>
      <c r="C64" s="14">
        <f>+Inscritos!D60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Inscritos!B61</f>
        <v>0</v>
      </c>
      <c r="C65" s="14">
        <f>+Inscritos!D61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124" t="s">
        <v>24</v>
      </c>
      <c r="E66" s="127" t="s">
        <v>12</v>
      </c>
      <c r="G66" s="121" t="s">
        <v>8</v>
      </c>
      <c r="H66" s="133" t="s">
        <v>9</v>
      </c>
      <c r="I66" s="133" t="s">
        <v>10</v>
      </c>
      <c r="J66" s="121" t="s">
        <v>11</v>
      </c>
      <c r="L66" s="103" t="s">
        <v>8</v>
      </c>
      <c r="M66" s="130" t="s">
        <v>9</v>
      </c>
      <c r="N66" s="130" t="s">
        <v>10</v>
      </c>
      <c r="O66" s="103" t="s">
        <v>11</v>
      </c>
      <c r="Q66" s="136" t="s">
        <v>24</v>
      </c>
      <c r="R66" s="136" t="s">
        <v>4</v>
      </c>
      <c r="S66" s="136" t="s">
        <v>5</v>
      </c>
    </row>
    <row r="67" spans="1:20" x14ac:dyDescent="0.3">
      <c r="D67" s="125"/>
      <c r="E67" s="128"/>
      <c r="G67" s="122"/>
      <c r="H67" s="134"/>
      <c r="I67" s="134"/>
      <c r="J67" s="122"/>
      <c r="L67" s="104"/>
      <c r="M67" s="131"/>
      <c r="N67" s="131"/>
      <c r="O67" s="104"/>
      <c r="Q67" s="137"/>
      <c r="R67" s="137"/>
      <c r="S67" s="137"/>
    </row>
    <row r="68" spans="1:20" x14ac:dyDescent="0.3">
      <c r="D68" s="125"/>
      <c r="E68" s="128"/>
      <c r="G68" s="122"/>
      <c r="H68" s="134"/>
      <c r="I68" s="134"/>
      <c r="J68" s="122"/>
      <c r="L68" s="104"/>
      <c r="M68" s="131"/>
      <c r="N68" s="131"/>
      <c r="O68" s="104"/>
      <c r="Q68" s="137"/>
      <c r="R68" s="137"/>
      <c r="S68" s="137"/>
    </row>
    <row r="69" spans="1:20" x14ac:dyDescent="0.3">
      <c r="D69" s="125"/>
      <c r="E69" s="128"/>
      <c r="G69" s="122"/>
      <c r="H69" s="134"/>
      <c r="I69" s="134"/>
      <c r="J69" s="122"/>
      <c r="L69" s="104"/>
      <c r="M69" s="131"/>
      <c r="N69" s="131"/>
      <c r="O69" s="104"/>
      <c r="Q69" s="137"/>
      <c r="R69" s="137"/>
      <c r="S69" s="137"/>
    </row>
    <row r="70" spans="1:20" x14ac:dyDescent="0.3">
      <c r="D70" s="125"/>
      <c r="E70" s="128"/>
      <c r="G70" s="122"/>
      <c r="H70" s="134"/>
      <c r="I70" s="134"/>
      <c r="J70" s="122"/>
      <c r="L70" s="104"/>
      <c r="M70" s="131"/>
      <c r="N70" s="131"/>
      <c r="O70" s="104"/>
      <c r="Q70" s="137"/>
      <c r="R70" s="137"/>
      <c r="S70" s="137"/>
    </row>
    <row r="71" spans="1:20" x14ac:dyDescent="0.3">
      <c r="D71" s="125"/>
      <c r="E71" s="128"/>
      <c r="G71" s="122"/>
      <c r="H71" s="134"/>
      <c r="I71" s="134"/>
      <c r="J71" s="122"/>
      <c r="L71" s="104"/>
      <c r="M71" s="131"/>
      <c r="N71" s="131"/>
      <c r="O71" s="104"/>
      <c r="Q71" s="137"/>
      <c r="R71" s="137"/>
      <c r="S71" s="137"/>
    </row>
    <row r="72" spans="1:20" x14ac:dyDescent="0.3">
      <c r="D72" s="125"/>
      <c r="E72" s="128"/>
      <c r="G72" s="122"/>
      <c r="H72" s="134"/>
      <c r="I72" s="134"/>
      <c r="J72" s="122"/>
      <c r="L72" s="104"/>
      <c r="M72" s="131"/>
      <c r="N72" s="131"/>
      <c r="O72" s="104"/>
      <c r="Q72" s="137"/>
      <c r="R72" s="137"/>
      <c r="S72" s="137"/>
    </row>
    <row r="73" spans="1:20" x14ac:dyDescent="0.3">
      <c r="D73" s="125"/>
      <c r="E73" s="128"/>
      <c r="G73" s="122"/>
      <c r="H73" s="134"/>
      <c r="I73" s="134"/>
      <c r="J73" s="122"/>
      <c r="L73" s="104"/>
      <c r="M73" s="131"/>
      <c r="N73" s="131"/>
      <c r="O73" s="104"/>
      <c r="Q73" s="137"/>
      <c r="R73" s="137"/>
      <c r="S73" s="137"/>
    </row>
    <row r="74" spans="1:20" x14ac:dyDescent="0.3">
      <c r="D74" s="125"/>
      <c r="E74" s="128"/>
      <c r="G74" s="122"/>
      <c r="H74" s="134"/>
      <c r="I74" s="134"/>
      <c r="J74" s="122"/>
      <c r="L74" s="104"/>
      <c r="M74" s="131"/>
      <c r="N74" s="131"/>
      <c r="O74" s="104"/>
      <c r="Q74" s="137"/>
      <c r="R74" s="137"/>
      <c r="S74" s="137"/>
    </row>
    <row r="75" spans="1:20" ht="15" thickBot="1" x14ac:dyDescent="0.35">
      <c r="D75" s="126"/>
      <c r="E75" s="129"/>
      <c r="G75" s="123"/>
      <c r="H75" s="135"/>
      <c r="I75" s="135"/>
      <c r="J75" s="123"/>
      <c r="L75" s="105"/>
      <c r="M75" s="132"/>
      <c r="N75" s="132"/>
      <c r="O75" s="105"/>
      <c r="Q75" s="138"/>
      <c r="R75" s="138"/>
      <c r="S75" s="138"/>
    </row>
  </sheetData>
  <sortState xmlns:xlrd2="http://schemas.microsoft.com/office/spreadsheetml/2017/richdata2" ref="B6:T60">
    <sortCondition ref="B6"/>
  </sortState>
  <mergeCells count="25"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  <mergeCell ref="G2:K2"/>
    <mergeCell ref="D2:F2"/>
    <mergeCell ref="Q3:T4"/>
    <mergeCell ref="O66:O75"/>
    <mergeCell ref="A2:A5"/>
    <mergeCell ref="G3:K4"/>
    <mergeCell ref="D3:F4"/>
    <mergeCell ref="B2:B5"/>
    <mergeCell ref="C2:C5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2026-04-23T23:16:01Z</dcterms:modified>
</cp:coreProperties>
</file>