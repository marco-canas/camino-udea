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5459A84D-E359-408E-A240-65C83EEF8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critos" sheetId="2" r:id="rId1"/>
    <sheet name="Asistencia" sheetId="1" r:id="rId2"/>
    <sheet name="Notas" sheetId="4" r:id="rId3"/>
  </sheets>
  <definedNames>
    <definedName name="_xlnm.Print_Titles" localSheetId="0">Inscritos!$1:$3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4" l="1"/>
  <c r="C56" i="4"/>
  <c r="B55" i="4"/>
  <c r="C55" i="1"/>
  <c r="B55" i="1"/>
  <c r="C54" i="4"/>
  <c r="B54" i="4"/>
  <c r="C54" i="1"/>
  <c r="B54" i="1"/>
  <c r="A51" i="2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B39" i="4" l="1"/>
  <c r="C39" i="4"/>
  <c r="F39" i="4"/>
  <c r="K39" i="4"/>
  <c r="P39" i="4"/>
  <c r="T39" i="4"/>
  <c r="B40" i="4"/>
  <c r="C40" i="4"/>
  <c r="F40" i="4"/>
  <c r="K40" i="4"/>
  <c r="P40" i="4"/>
  <c r="T40" i="4"/>
  <c r="B41" i="4"/>
  <c r="C41" i="4"/>
  <c r="F41" i="4"/>
  <c r="K41" i="4"/>
  <c r="P41" i="4"/>
  <c r="T41" i="4"/>
  <c r="B42" i="4"/>
  <c r="C42" i="4"/>
  <c r="F42" i="4"/>
  <c r="K42" i="4"/>
  <c r="P42" i="4"/>
  <c r="T42" i="4"/>
  <c r="B43" i="4"/>
  <c r="C43" i="4"/>
  <c r="F43" i="4"/>
  <c r="K43" i="4"/>
  <c r="P43" i="4"/>
  <c r="T43" i="4"/>
  <c r="B44" i="4"/>
  <c r="C44" i="4"/>
  <c r="F44" i="4"/>
  <c r="K44" i="4"/>
  <c r="P44" i="4"/>
  <c r="T44" i="4"/>
  <c r="B45" i="4"/>
  <c r="C45" i="4"/>
  <c r="F45" i="4"/>
  <c r="K45" i="4"/>
  <c r="P45" i="4"/>
  <c r="T45" i="4"/>
  <c r="B46" i="4"/>
  <c r="C46" i="4"/>
  <c r="F46" i="4"/>
  <c r="K46" i="4"/>
  <c r="P46" i="4"/>
  <c r="T46" i="4"/>
  <c r="B47" i="4"/>
  <c r="C47" i="4"/>
  <c r="F47" i="4"/>
  <c r="K47" i="4"/>
  <c r="P47" i="4"/>
  <c r="T47" i="4"/>
  <c r="B48" i="4"/>
  <c r="C48" i="4"/>
  <c r="F48" i="4"/>
  <c r="K48" i="4"/>
  <c r="P48" i="4"/>
  <c r="T48" i="4"/>
  <c r="B49" i="4"/>
  <c r="C49" i="4"/>
  <c r="F49" i="4"/>
  <c r="K49" i="4"/>
  <c r="P49" i="4"/>
  <c r="T49" i="4"/>
  <c r="B50" i="4"/>
  <c r="C50" i="4"/>
  <c r="F50" i="4"/>
  <c r="K50" i="4"/>
  <c r="P50" i="4"/>
  <c r="T50" i="4"/>
  <c r="B51" i="4"/>
  <c r="C51" i="4"/>
  <c r="F51" i="4"/>
  <c r="K51" i="4"/>
  <c r="P51" i="4"/>
  <c r="T51" i="4"/>
  <c r="B52" i="4"/>
  <c r="C52" i="4"/>
  <c r="F52" i="4"/>
  <c r="K52" i="4"/>
  <c r="P52" i="4"/>
  <c r="T52" i="4"/>
  <c r="B53" i="4"/>
  <c r="C53" i="4"/>
  <c r="F53" i="4"/>
  <c r="K53" i="4"/>
  <c r="P53" i="4"/>
  <c r="T53" i="4"/>
  <c r="F54" i="4"/>
  <c r="K54" i="4"/>
  <c r="P54" i="4"/>
  <c r="T54" i="4"/>
  <c r="F55" i="4"/>
  <c r="K55" i="4"/>
  <c r="P55" i="4"/>
  <c r="T55" i="4"/>
  <c r="B56" i="4"/>
  <c r="F56" i="4"/>
  <c r="K56" i="4"/>
  <c r="P56" i="4"/>
  <c r="T56" i="4"/>
  <c r="B57" i="4"/>
  <c r="C57" i="4"/>
  <c r="F57" i="4"/>
  <c r="K57" i="4"/>
  <c r="P57" i="4"/>
  <c r="T57" i="4"/>
  <c r="B58" i="4"/>
  <c r="C58" i="4"/>
  <c r="F58" i="4"/>
  <c r="K58" i="4"/>
  <c r="P58" i="4"/>
  <c r="T58" i="4"/>
  <c r="B59" i="4"/>
  <c r="C59" i="4"/>
  <c r="F59" i="4"/>
  <c r="K59" i="4"/>
  <c r="P59" i="4"/>
  <c r="T59" i="4"/>
  <c r="B60" i="4"/>
  <c r="C60" i="4"/>
  <c r="F60" i="4"/>
  <c r="K60" i="4"/>
  <c r="P60" i="4"/>
  <c r="T60" i="4"/>
  <c r="B61" i="4"/>
  <c r="C61" i="4"/>
  <c r="F61" i="4"/>
  <c r="K61" i="4"/>
  <c r="P61" i="4"/>
  <c r="T61" i="4"/>
  <c r="B62" i="4"/>
  <c r="C62" i="4"/>
  <c r="F62" i="4"/>
  <c r="K62" i="4"/>
  <c r="P62" i="4"/>
  <c r="T62" i="4"/>
  <c r="B63" i="4"/>
  <c r="C63" i="4"/>
  <c r="F63" i="4"/>
  <c r="K63" i="4"/>
  <c r="P63" i="4"/>
  <c r="T63" i="4"/>
  <c r="B64" i="4"/>
  <c r="C64" i="4"/>
  <c r="F64" i="4"/>
  <c r="K64" i="4"/>
  <c r="P64" i="4"/>
  <c r="T64" i="4"/>
  <c r="H55" i="1"/>
  <c r="Q55" i="1"/>
  <c r="Z55" i="1"/>
  <c r="AE55" i="1"/>
  <c r="B56" i="1"/>
  <c r="C56" i="1"/>
  <c r="H56" i="1"/>
  <c r="Q56" i="1"/>
  <c r="Z56" i="1"/>
  <c r="AE56" i="1"/>
  <c r="B57" i="1"/>
  <c r="C57" i="1"/>
  <c r="H57" i="1"/>
  <c r="Q57" i="1"/>
  <c r="Z57" i="1"/>
  <c r="AE57" i="1"/>
  <c r="B58" i="1"/>
  <c r="C58" i="1"/>
  <c r="H58" i="1"/>
  <c r="Q58" i="1"/>
  <c r="Z58" i="1"/>
  <c r="AE58" i="1"/>
  <c r="B59" i="1"/>
  <c r="C59" i="1"/>
  <c r="H59" i="1"/>
  <c r="Q59" i="1"/>
  <c r="Z59" i="1"/>
  <c r="AE59" i="1"/>
  <c r="B60" i="1"/>
  <c r="C60" i="1"/>
  <c r="H60" i="1"/>
  <c r="Q60" i="1"/>
  <c r="Z60" i="1"/>
  <c r="AE60" i="1"/>
  <c r="B61" i="1"/>
  <c r="C61" i="1"/>
  <c r="H61" i="1"/>
  <c r="Q61" i="1"/>
  <c r="Z61" i="1"/>
  <c r="AE61" i="1"/>
  <c r="B62" i="1"/>
  <c r="C62" i="1"/>
  <c r="H62" i="1"/>
  <c r="Q62" i="1"/>
  <c r="Z62" i="1"/>
  <c r="AE62" i="1"/>
  <c r="B63" i="1"/>
  <c r="C63" i="1"/>
  <c r="H63" i="1"/>
  <c r="Q63" i="1"/>
  <c r="Z63" i="1"/>
  <c r="AE63" i="1"/>
  <c r="B64" i="1"/>
  <c r="C64" i="1"/>
  <c r="H64" i="1"/>
  <c r="Q64" i="1"/>
  <c r="Z64" i="1"/>
  <c r="AE64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T27" i="4"/>
  <c r="T28" i="4"/>
  <c r="T29" i="4"/>
  <c r="T30" i="4"/>
  <c r="T31" i="4"/>
  <c r="T32" i="4"/>
  <c r="T33" i="4"/>
  <c r="T34" i="4"/>
  <c r="T35" i="4"/>
  <c r="T36" i="4"/>
  <c r="T37" i="4"/>
  <c r="T38" i="4"/>
  <c r="P27" i="4"/>
  <c r="P28" i="4"/>
  <c r="P29" i="4"/>
  <c r="P30" i="4"/>
  <c r="P31" i="4"/>
  <c r="P32" i="4"/>
  <c r="P33" i="4"/>
  <c r="P34" i="4"/>
  <c r="P35" i="4"/>
  <c r="P36" i="4"/>
  <c r="P37" i="4"/>
  <c r="P38" i="4"/>
  <c r="K27" i="4"/>
  <c r="K28" i="4"/>
  <c r="K29" i="4"/>
  <c r="K30" i="4"/>
  <c r="K31" i="4"/>
  <c r="K32" i="4"/>
  <c r="K33" i="4"/>
  <c r="K34" i="4"/>
  <c r="K35" i="4"/>
  <c r="K36" i="4"/>
  <c r="K37" i="4"/>
  <c r="K38" i="4"/>
  <c r="F27" i="4"/>
  <c r="F28" i="4"/>
  <c r="F29" i="4"/>
  <c r="F30" i="4"/>
  <c r="F31" i="4"/>
  <c r="F32" i="4"/>
  <c r="F33" i="4"/>
  <c r="F34" i="4"/>
  <c r="F35" i="4"/>
  <c r="F36" i="4"/>
  <c r="F37" i="4"/>
  <c r="F38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Q2" i="4" l="1"/>
  <c r="G2" i="4"/>
  <c r="D2" i="4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F23" i="4"/>
  <c r="F24" i="4"/>
  <c r="F25" i="4"/>
  <c r="F26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</calcChain>
</file>

<file path=xl/sharedStrings.xml><?xml version="1.0" encoding="utf-8"?>
<sst xmlns="http://schemas.openxmlformats.org/spreadsheetml/2006/main" count="399" uniqueCount="256">
  <si>
    <t>METODOLOGÍA DE ESTUDIO</t>
  </si>
  <si>
    <t>COMPETENCIA LECTORA</t>
  </si>
  <si>
    <t>RAZONAMIENTO LÓGICO</t>
  </si>
  <si>
    <t>DOCUMENTO</t>
  </si>
  <si>
    <t>TRABAJO FINAL</t>
  </si>
  <si>
    <t>EVALUACIONES</t>
  </si>
  <si>
    <t>NOTA</t>
  </si>
  <si>
    <t>ORIENTACIÓN VOCACIONAL</t>
  </si>
  <si>
    <t>QUICES</t>
  </si>
  <si>
    <t>TRABAJOS Y TALLERES EXTRACLASE</t>
  </si>
  <si>
    <t>SEGUIMIENTO DE TRABAJO EN CLASE</t>
  </si>
  <si>
    <t>EXAMEN FINAL</t>
  </si>
  <si>
    <t>SEGUIMIENTO DE ACTIVIDADES</t>
  </si>
  <si>
    <t>#</t>
  </si>
  <si>
    <t xml:space="preserve">DOCUMENTO </t>
  </si>
  <si>
    <t xml:space="preserve">MUNICIPIO </t>
  </si>
  <si>
    <t>TELÉFONOS</t>
  </si>
  <si>
    <t>CORREO</t>
  </si>
  <si>
    <t>INSTITUCIÓN EDUCATIVA</t>
  </si>
  <si>
    <t>% Asistencia</t>
  </si>
  <si>
    <t xml:space="preserve">ASISTENCIA DE ESTUDIANTES DURANTE EL PROCESO </t>
  </si>
  <si>
    <t>NOMBRE DOCENTE</t>
  </si>
  <si>
    <t>NOMBRES Y APELLIDOS (completos  en mayúscula y en orden alfabético)</t>
  </si>
  <si>
    <t xml:space="preserve">FECHAS </t>
  </si>
  <si>
    <t>FECHAS</t>
  </si>
  <si>
    <t>RELACIÓN DE ESTUDIANTES INSCRITOS AL PROGRAMA</t>
  </si>
  <si>
    <t>DESARROLLO DEL MÓDULO</t>
  </si>
  <si>
    <t>NOMBRES Y APELLIDOS</t>
  </si>
  <si>
    <t>TI</t>
  </si>
  <si>
    <t>TIPO DOC</t>
  </si>
  <si>
    <t>CC</t>
  </si>
  <si>
    <t>GRUPO 4</t>
  </si>
  <si>
    <t xml:space="preserve">EDANYS LUZ VIDAL VALENCIA </t>
  </si>
  <si>
    <t>1063359282</t>
  </si>
  <si>
    <t xml:space="preserve">13 DE AGOSTO </t>
  </si>
  <si>
    <t>3148290989</t>
  </si>
  <si>
    <t>VIDALVALENCIAEDANYS@GMAIL.COM</t>
  </si>
  <si>
    <t>OSVALDO JUNIOR PIEDRAHITA GIL</t>
  </si>
  <si>
    <t>1063789655</t>
  </si>
  <si>
    <t>3243092556</t>
  </si>
  <si>
    <t>PIEDRAHITAOSVALDO513@GMAIL.COM</t>
  </si>
  <si>
    <t xml:space="preserve">KAREN LORENA PÉREZ SIERRA </t>
  </si>
  <si>
    <t>1063359896</t>
  </si>
  <si>
    <t xml:space="preserve">321 507 1940 </t>
  </si>
  <si>
    <t>KARENPEREZ122008@GMAIL.COM</t>
  </si>
  <si>
    <t>SARITA TABARES DIAZ</t>
  </si>
  <si>
    <t>1063788847</t>
  </si>
  <si>
    <t>20 DE JULIO</t>
  </si>
  <si>
    <t>3217848448</t>
  </si>
  <si>
    <t>TABARESSARITA328@GMAIL.COM</t>
  </si>
  <si>
    <t xml:space="preserve">SANTIAGO ENRIQUE ROMERO RUIZ </t>
  </si>
  <si>
    <t>1032255995</t>
  </si>
  <si>
    <t>AGUAS VIVAS</t>
  </si>
  <si>
    <t>3234254861</t>
  </si>
  <si>
    <t>RUIZSANTI730@GMAIL.COM</t>
  </si>
  <si>
    <t xml:space="preserve">GABRIELA BARRETO HERNÁNDEZ </t>
  </si>
  <si>
    <t>1063361586</t>
  </si>
  <si>
    <t xml:space="preserve">AGUAS VIVAS </t>
  </si>
  <si>
    <t>3135975782</t>
  </si>
  <si>
    <t>GABRIELABARRETOH1211@GMAIL.COM</t>
  </si>
  <si>
    <t xml:space="preserve">PLUTARCO DAVID SAENZ URANGO </t>
  </si>
  <si>
    <t>1063358434</t>
  </si>
  <si>
    <t>3113015593</t>
  </si>
  <si>
    <t>SAENZDAVID665@GMAIL.COM</t>
  </si>
  <si>
    <t xml:space="preserve">ANISLEY GUZMÁN AGAMES </t>
  </si>
  <si>
    <t>1063789960</t>
  </si>
  <si>
    <t>BARRIO</t>
  </si>
  <si>
    <t>3218624563</t>
  </si>
  <si>
    <t>ANISLEYGUZMAN5@GMAIL.COM</t>
  </si>
  <si>
    <t>JOEL GUZMÁN AGAMES</t>
  </si>
  <si>
    <t>1063360359</t>
  </si>
  <si>
    <t>3508946910</t>
  </si>
  <si>
    <t>GUZMANAGAMESJOEL@GMAIL.COM</t>
  </si>
  <si>
    <t xml:space="preserve">MILAGROS TORRES CABEZAS </t>
  </si>
  <si>
    <t>1063291725</t>
  </si>
  <si>
    <t>3224355287</t>
  </si>
  <si>
    <t>CABEZASEVELIN32@GMAIL.COM</t>
  </si>
  <si>
    <t>KATHERINE GUZMÁN ARIAS</t>
  </si>
  <si>
    <t>1063789184</t>
  </si>
  <si>
    <t>CAMILO JIMÉNEZ</t>
  </si>
  <si>
    <t>3127688687</t>
  </si>
  <si>
    <t>KATHERINEGUZMANARIAS@GMAIL.COM</t>
  </si>
  <si>
    <t xml:space="preserve">NIKOLE ALVAREZ DELGADO </t>
  </si>
  <si>
    <t>1038115533</t>
  </si>
  <si>
    <t>3207653139</t>
  </si>
  <si>
    <t>NIKOLE5533@IEJOMACOR.EDU.CO</t>
  </si>
  <si>
    <t xml:space="preserve">DANIELA LONDOÑO AGUDELO </t>
  </si>
  <si>
    <t>1063789677</t>
  </si>
  <si>
    <t xml:space="preserve">EL CENTRO </t>
  </si>
  <si>
    <t>3135216698</t>
  </si>
  <si>
    <t>DANIAGUDELO567@GMAIL.COM</t>
  </si>
  <si>
    <t>ALEJANDRO ALVAREZ SIMANCA</t>
  </si>
  <si>
    <t>1063289594</t>
  </si>
  <si>
    <t>EL EDÉN</t>
  </si>
  <si>
    <t>3127524485</t>
  </si>
  <si>
    <t>ALEJANDROALVAREZSIMANCA2@GMAIL.COM</t>
  </si>
  <si>
    <t xml:space="preserve">TRIANY VALENTINA IBARRA MARTÍNEZ </t>
  </si>
  <si>
    <t>1063362241</t>
  </si>
  <si>
    <t>3105987634</t>
  </si>
  <si>
    <t xml:space="preserve">TRIANYIBARRA@GMAIL.COM </t>
  </si>
  <si>
    <t xml:space="preserve">DANIELA ISABEL BONOLIS ROMERO </t>
  </si>
  <si>
    <t>1063789798</t>
  </si>
  <si>
    <t xml:space="preserve">EL ÉXODO </t>
  </si>
  <si>
    <t>3218825926</t>
  </si>
  <si>
    <t>ELIZABETHROMERO1792@GMAIL.COM</t>
  </si>
  <si>
    <t xml:space="preserve">YOHEMIS DEL CARMEN VILLADIEGO VILLALVA </t>
  </si>
  <si>
    <t>1063361151</t>
  </si>
  <si>
    <t>3206637531</t>
  </si>
  <si>
    <t>VILLADIEGOYOEMIS4@GMAIL.COM</t>
  </si>
  <si>
    <t>ZAIRO MANCHEGO RIOS</t>
  </si>
  <si>
    <t>1063789290</t>
  </si>
  <si>
    <t>GUADALUPE</t>
  </si>
  <si>
    <t>3126099576</t>
  </si>
  <si>
    <t>MANCHEGORIOS12@GMAIL.COM</t>
  </si>
  <si>
    <t xml:space="preserve">ISABEL CRISTINA PALOMO GARCÉS </t>
  </si>
  <si>
    <t xml:space="preserve">1042586863 </t>
  </si>
  <si>
    <t xml:space="preserve">GUADALUPE </t>
  </si>
  <si>
    <t>3041001047</t>
  </si>
  <si>
    <t>ISSABELCRISTINAPALOMOG@GMAIL.COM</t>
  </si>
  <si>
    <t xml:space="preserve">SIMÓN APARICIO CARRASCAL </t>
  </si>
  <si>
    <t>1063290759</t>
  </si>
  <si>
    <t xml:space="preserve">JULIO SÁNCHEZ </t>
  </si>
  <si>
    <t>1063355403</t>
  </si>
  <si>
    <t>CARRASCALJULIA@GMAIL.COM</t>
  </si>
  <si>
    <t xml:space="preserve">ISABELLA SOFÍA GALVÁN HERNÁNDEZ </t>
  </si>
  <si>
    <t>1063789969</t>
  </si>
  <si>
    <t>LA GRANJA</t>
  </si>
  <si>
    <t>3126019744</t>
  </si>
  <si>
    <t>MARISELAHC25@GMAIL.COM</t>
  </si>
  <si>
    <t xml:space="preserve">MISHEL ANDREA HERNANDEZ BANQUEZ </t>
  </si>
  <si>
    <t>1063291967</t>
  </si>
  <si>
    <t xml:space="preserve">LA GRANJA </t>
  </si>
  <si>
    <t>3126298603</t>
  </si>
  <si>
    <t>MISHELBAZ091@GMAIL.COM</t>
  </si>
  <si>
    <t xml:space="preserve">YERLIS YULIETH AVILEZ ARRIETA </t>
  </si>
  <si>
    <t>1063788235</t>
  </si>
  <si>
    <t>3003322957</t>
  </si>
  <si>
    <t>AVILEZARRIETAYERLISYULIETH@GMAIL.COM</t>
  </si>
  <si>
    <t xml:space="preserve">DAINER DAVID HUERTA CASSIANI </t>
  </si>
  <si>
    <t>1063361959</t>
  </si>
  <si>
    <t xml:space="preserve">PALMIRA </t>
  </si>
  <si>
    <t>3042155298</t>
  </si>
  <si>
    <t>DAINERDAVIDHUERTACASSIANI@GMAIL.COM</t>
  </si>
  <si>
    <t xml:space="preserve">SANTIAGO JIMÉNEZ </t>
  </si>
  <si>
    <t>1063291484</t>
  </si>
  <si>
    <t>PORVENIR</t>
  </si>
  <si>
    <t>3236609314</t>
  </si>
  <si>
    <t>ÁLVAREZJIMENEZSANTIAGO42@GMAIL.COM</t>
  </si>
  <si>
    <t xml:space="preserve">ALEJANDRO VILLALOBOS HUERTA </t>
  </si>
  <si>
    <t>1063291700</t>
  </si>
  <si>
    <t>PROGRESO 2</t>
  </si>
  <si>
    <t>3135565941</t>
  </si>
  <si>
    <t>BERSAIDAHUERTA@GMAIL.COM</t>
  </si>
  <si>
    <t xml:space="preserve">ANDRÉS CAMILO NAVARRO ENSUNCHO </t>
  </si>
  <si>
    <t>1063788976</t>
  </si>
  <si>
    <t xml:space="preserve">PUERTO LIBERTADOR CÓRDOBA </t>
  </si>
  <si>
    <t>3122632773</t>
  </si>
  <si>
    <t>ENSUNCHOANDRES547@GMAIL.COM</t>
  </si>
  <si>
    <t xml:space="preserve">BRENDA MELISA PATERNINA ROJAS </t>
  </si>
  <si>
    <t>1063290465</t>
  </si>
  <si>
    <t>3137948909</t>
  </si>
  <si>
    <t>BRENDAMELISAPATERNINA@GMAIL.COM</t>
  </si>
  <si>
    <t>VALENTINA RIVERA CALDERÓN</t>
  </si>
  <si>
    <t>1063361627</t>
  </si>
  <si>
    <t>RAMON RUBIO</t>
  </si>
  <si>
    <t>3505407185</t>
  </si>
  <si>
    <t>VALENTINARIVERA291006@GMAIL.COM</t>
  </si>
  <si>
    <t>ITAMAR ARROYO CARRASCAL</t>
  </si>
  <si>
    <t>1066605712</t>
  </si>
  <si>
    <t>SAN JOSÉ</t>
  </si>
  <si>
    <t>3019313015</t>
  </si>
  <si>
    <t>ITAMAR5712@IEJOMACOR.EDU.CO</t>
  </si>
  <si>
    <t xml:space="preserve">SARAY MARTINEZ HERNÁNDEZ </t>
  </si>
  <si>
    <t>1063361204</t>
  </si>
  <si>
    <t>3147815216</t>
  </si>
  <si>
    <t>SARAYMARTINZZZ.1522@GMAIL.COM</t>
  </si>
  <si>
    <t>ÁNGEL EMIRO HERNÁNDEZ LARIOS</t>
  </si>
  <si>
    <t>1064193460</t>
  </si>
  <si>
    <t xml:space="preserve">SAN JOSÉ </t>
  </si>
  <si>
    <t>3126264827</t>
  </si>
  <si>
    <t>HDEZLARIOS03@GMAIL.COM</t>
  </si>
  <si>
    <t xml:space="preserve">RAUL ESTEBAN MEJÍA ALDANA </t>
  </si>
  <si>
    <t>1063359382</t>
  </si>
  <si>
    <t xml:space="preserve">SANTIAGO SÁNCHEZ </t>
  </si>
  <si>
    <t>3146633693</t>
  </si>
  <si>
    <t>MEJIAESTEBAN1608@GMAIL.COM</t>
  </si>
  <si>
    <t xml:space="preserve">CARLOS MARIO DÍAZ MORENO </t>
  </si>
  <si>
    <t>1063360161</t>
  </si>
  <si>
    <t>3127575890</t>
  </si>
  <si>
    <t>CARLOS27AGOSTO2008@GMAIL.COM</t>
  </si>
  <si>
    <t xml:space="preserve">YURANIS MILETH ARROYO COAVA </t>
  </si>
  <si>
    <t>1063789809</t>
  </si>
  <si>
    <t xml:space="preserve">VILLA ESPERANZA </t>
  </si>
  <si>
    <t>3207283797</t>
  </si>
  <si>
    <t>YURANISCOAVA@GMAIL.COM</t>
  </si>
  <si>
    <t xml:space="preserve">ANDRES JOSE MARTINEZ ARRIETA </t>
  </si>
  <si>
    <t>1063780083</t>
  </si>
  <si>
    <t>3019181002</t>
  </si>
  <si>
    <t>ANDRES0315MARTINEZ@GMAIL.COM</t>
  </si>
  <si>
    <t xml:space="preserve">JAZMÍN RAMOS HERRERA </t>
  </si>
  <si>
    <t>1063360384</t>
  </si>
  <si>
    <t>3105376237</t>
  </si>
  <si>
    <t>JAZMINRH28@GMAIL.COM</t>
  </si>
  <si>
    <t xml:space="preserve">ANA SOFIA ACOSTA DE LA ROSA </t>
  </si>
  <si>
    <t>1063360341</t>
  </si>
  <si>
    <t>3013858297</t>
  </si>
  <si>
    <t>A4679412@GMAIL.COM</t>
  </si>
  <si>
    <t>MATIAS REGINO HERNANDEZ</t>
  </si>
  <si>
    <t>1067901390</t>
  </si>
  <si>
    <t>3234428486</t>
  </si>
  <si>
    <t>MATIASREGINOHERNANDEZ38@GMAIL.COM</t>
  </si>
  <si>
    <t xml:space="preserve">MAYERLIS MARÍA HOLGUÍN VILORIA </t>
  </si>
  <si>
    <t>1063789424</t>
  </si>
  <si>
    <t>3206511335</t>
  </si>
  <si>
    <t>MAYERLISHOLGUIN74@GMAIL.COM</t>
  </si>
  <si>
    <t xml:space="preserve">MAYERLIS ROJAS CARRASCO </t>
  </si>
  <si>
    <t>1063789584</t>
  </si>
  <si>
    <t>3104426047</t>
  </si>
  <si>
    <t>ROJASCARRASCOMAYERLIS@GMAIL.COM</t>
  </si>
  <si>
    <t xml:space="preserve">DANIELA MUÑOZ MARTÍNEZ </t>
  </si>
  <si>
    <t>1063290961</t>
  </si>
  <si>
    <t>3145426083</t>
  </si>
  <si>
    <t>DANIELAMUNOZMARTINEZ0@GMAIL.COM</t>
  </si>
  <si>
    <t>MATEO CARRIAZO CASTILLO</t>
  </si>
  <si>
    <t>1063789240</t>
  </si>
  <si>
    <t>3103503811</t>
  </si>
  <si>
    <t>MATEOCASTILLO2404@GMAIL.COM</t>
  </si>
  <si>
    <t>MAYLEEN GOMEZ</t>
  </si>
  <si>
    <t>1063361243</t>
  </si>
  <si>
    <t>3235872135</t>
  </si>
  <si>
    <t>MAYLEENGOMEZARROYO2505@GMAIL.COM</t>
  </si>
  <si>
    <t xml:space="preserve">YULEIDYS MARÍA DÍAZ PASTRANA </t>
  </si>
  <si>
    <t>1063361698</t>
  </si>
  <si>
    <t>BARRIO.</t>
  </si>
  <si>
    <t>3148642776</t>
  </si>
  <si>
    <t>DIAZPASTRANAYULEIDYS@GMAIL.COM</t>
  </si>
  <si>
    <t xml:space="preserve">CAMILO ANDRÉS VERGARA LÓPEZ </t>
  </si>
  <si>
    <t>1063287690</t>
  </si>
  <si>
    <t xml:space="preserve">CORREGIMIENTO </t>
  </si>
  <si>
    <t>3014716791</t>
  </si>
  <si>
    <t>VERGARACAMILO772@GMAIL.COM</t>
  </si>
  <si>
    <t>JOSE LUIS VANEGAS CONTRERAS</t>
  </si>
  <si>
    <t>1063790058</t>
  </si>
  <si>
    <t xml:space="preserve">CORREGIMIENTO CENTRO AMERICA </t>
  </si>
  <si>
    <t>3023655607</t>
  </si>
  <si>
    <t>JOSELUISVANEGAS828@G.MAIL.COM</t>
  </si>
  <si>
    <t xml:space="preserve">LUIS CAMILO LONDOÑO PEÑATE </t>
  </si>
  <si>
    <t>1063360671</t>
  </si>
  <si>
    <t xml:space="preserve">CORREGIMIENTO CENTRO AMÉRICA </t>
  </si>
  <si>
    <t>3003704187</t>
  </si>
  <si>
    <t>LUISCAMILO2008@ICLOUD.COM</t>
  </si>
  <si>
    <t xml:space="preserve">DEGUAR MORENO RODRÍGUEZ </t>
  </si>
  <si>
    <t>1066605960</t>
  </si>
  <si>
    <t>3148476214</t>
  </si>
  <si>
    <t xml:space="preserve">MORENOYIRLEN758@GMAIL. COM </t>
  </si>
  <si>
    <t>IE JOSÉ MARÍA CÓRDOBA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</si>
</sst>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</font>
    <font>
      <b/>
      <sz val="15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4" fillId="0" borderId="0"/>
  </cellStyleXfs>
  <cellXfs count="1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justify" vertical="center"/>
    </xf>
    <xf numFmtId="0" fontId="10" fillId="0" borderId="0" xfId="0" applyFont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14" fontId="16" fillId="5" borderId="7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9" fontId="19" fillId="4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 indent="1"/>
    </xf>
    <xf numFmtId="164" fontId="3" fillId="0" borderId="1" xfId="2" applyNumberFormat="1" applyFont="1" applyBorder="1" applyAlignment="1">
      <alignment horizontal="center" vertical="center"/>
    </xf>
    <xf numFmtId="164" fontId="13" fillId="0" borderId="1" xfId="2" applyNumberFormat="1" applyFont="1" applyBorder="1" applyAlignment="1">
      <alignment horizontal="left"/>
    </xf>
    <xf numFmtId="164" fontId="0" fillId="0" borderId="0" xfId="2" applyNumberFormat="1" applyFont="1" applyAlignment="1">
      <alignment horizontal="left"/>
    </xf>
    <xf numFmtId="0" fontId="23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0" fillId="12" borderId="1" xfId="0" applyFill="1" applyBorder="1"/>
    <xf numFmtId="0" fontId="0" fillId="12" borderId="1" xfId="0" quotePrefix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0" borderId="1" xfId="0" applyBorder="1"/>
    <xf numFmtId="0" fontId="19" fillId="12" borderId="1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19" fillId="12" borderId="5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/>
    </xf>
    <xf numFmtId="0" fontId="14" fillId="11" borderId="5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textRotation="90" wrapText="1"/>
    </xf>
    <xf numFmtId="0" fontId="6" fillId="9" borderId="3" xfId="0" applyFont="1" applyFill="1" applyBorder="1" applyAlignment="1">
      <alignment horizontal="center" vertical="center" textRotation="90" wrapText="1"/>
    </xf>
    <xf numFmtId="0" fontId="6" fillId="9" borderId="1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textRotation="90" wrapText="1"/>
    </xf>
    <xf numFmtId="0" fontId="6" fillId="8" borderId="3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6" fillId="6" borderId="2" xfId="0" applyFont="1" applyFill="1" applyBorder="1" applyAlignment="1">
      <alignment horizontal="center" vertical="center" textRotation="90" wrapText="1"/>
    </xf>
    <xf numFmtId="0" fontId="6" fillId="6" borderId="3" xfId="0" applyFont="1" applyFill="1" applyBorder="1" applyAlignment="1">
      <alignment horizontal="center" vertical="center" textRotation="90" wrapText="1"/>
    </xf>
    <xf numFmtId="0" fontId="6" fillId="6" borderId="15" xfId="0" applyFont="1" applyFill="1" applyBorder="1" applyAlignment="1">
      <alignment horizontal="center" vertical="center" textRotation="90" wrapText="1"/>
    </xf>
    <xf numFmtId="0" fontId="7" fillId="6" borderId="2" xfId="0" applyFont="1" applyFill="1" applyBorder="1" applyAlignment="1">
      <alignment horizontal="center" vertical="center" textRotation="90" wrapText="1"/>
    </xf>
    <xf numFmtId="0" fontId="7" fillId="6" borderId="3" xfId="0" applyFont="1" applyFill="1" applyBorder="1" applyAlignment="1">
      <alignment horizontal="center" vertical="center" textRotation="90" wrapText="1"/>
    </xf>
    <xf numFmtId="0" fontId="7" fillId="6" borderId="15" xfId="0" applyFont="1" applyFill="1" applyBorder="1" applyAlignment="1">
      <alignment horizontal="center" vertical="center" textRotation="90" wrapText="1"/>
    </xf>
    <xf numFmtId="0" fontId="7" fillId="9" borderId="2" xfId="0" applyFont="1" applyFill="1" applyBorder="1" applyAlignment="1">
      <alignment horizontal="center" vertical="center" textRotation="90" wrapText="1"/>
    </xf>
    <xf numFmtId="0" fontId="7" fillId="9" borderId="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  <xf numFmtId="0" fontId="7" fillId="8" borderId="2" xfId="0" applyFont="1" applyFill="1" applyBorder="1" applyAlignment="1">
      <alignment horizontal="center" vertical="center" textRotation="90" wrapText="1"/>
    </xf>
    <xf numFmtId="0" fontId="7" fillId="8" borderId="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  <xf numFmtId="0" fontId="6" fillId="7" borderId="2" xfId="0" applyFont="1" applyFill="1" applyBorder="1" applyAlignment="1">
      <alignment horizontal="center" vertical="center" textRotation="90" wrapText="1"/>
    </xf>
    <xf numFmtId="0" fontId="6" fillId="7" borderId="3" xfId="0" applyFont="1" applyFill="1" applyBorder="1" applyAlignment="1">
      <alignment horizontal="center" vertical="center" textRotation="90" wrapText="1"/>
    </xf>
    <xf numFmtId="0" fontId="6" fillId="7" borderId="15" xfId="0" applyFont="1" applyFill="1" applyBorder="1" applyAlignment="1">
      <alignment horizontal="center" vertical="center" textRotation="90" wrapText="1"/>
    </xf>
    <xf numFmtId="0" fontId="3" fillId="9" borderId="16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0" fillId="13" borderId="1" xfId="0" applyFill="1" applyBorder="1"/>
    <xf numFmtId="0" fontId="0" fillId="0" borderId="1" xfId="0" applyFill="1" applyBorder="1"/>
  </cellXfs>
  <cellStyles count="4">
    <cellStyle name="Millares" xfId="2" builtinId="3"/>
    <cellStyle name="Normal" xfId="0" builtinId="0"/>
    <cellStyle name="Normal 2" xfId="3" xr:uid="{377C4100-893E-40C4-BCA2-5AB7D7836799}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171450</xdr:rowOff>
    </xdr:from>
    <xdr:to>
      <xdr:col>1</xdr:col>
      <xdr:colOff>537882</xdr:colOff>
      <xdr:row>0</xdr:row>
      <xdr:rowOff>855008</xdr:rowOff>
    </xdr:to>
    <xdr:pic>
      <xdr:nvPicPr>
        <xdr:cNvPr id="4" name="3 Imagen" descr="udea-corporativo-negr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71450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57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29" zoomScale="130" zoomScaleNormal="130" workbookViewId="0">
      <selection activeCell="B24" sqref="B24"/>
    </sheetView>
  </sheetViews>
  <sheetFormatPr baseColWidth="10" defaultRowHeight="14.4" x14ac:dyDescent="0.3"/>
  <cols>
    <col min="1" max="1" width="5.109375" customWidth="1"/>
    <col min="2" max="2" width="41.44140625" style="17" bestFit="1" customWidth="1"/>
    <col min="3" max="3" width="9.44140625" style="11" bestFit="1" customWidth="1"/>
    <col min="4" max="4" width="14.88671875" style="47" bestFit="1" customWidth="1"/>
    <col min="5" max="5" width="19.5546875" style="17" customWidth="1"/>
    <col min="6" max="6" width="12.88671875" customWidth="1"/>
    <col min="7" max="7" width="42" style="17" bestFit="1" customWidth="1"/>
    <col min="8" max="8" width="23.5546875" bestFit="1" customWidth="1"/>
  </cols>
  <sheetData>
    <row r="1" spans="1:8" ht="72" customHeight="1" x14ac:dyDescent="0.3">
      <c r="A1" s="55" t="s">
        <v>25</v>
      </c>
      <c r="B1" s="56"/>
      <c r="C1" s="56"/>
      <c r="D1" s="56"/>
      <c r="E1" s="56"/>
      <c r="F1" s="56"/>
      <c r="G1" s="56"/>
      <c r="H1" s="57"/>
    </row>
    <row r="2" spans="1:8" ht="19.8" x14ac:dyDescent="0.3">
      <c r="A2" s="54" t="s">
        <v>31</v>
      </c>
      <c r="B2" s="54"/>
      <c r="C2" s="54"/>
      <c r="D2" s="54"/>
      <c r="E2" s="54"/>
      <c r="F2" s="54"/>
      <c r="G2" s="54"/>
      <c r="H2" s="54"/>
    </row>
    <row r="3" spans="1:8" x14ac:dyDescent="0.3">
      <c r="A3" s="3" t="s">
        <v>13</v>
      </c>
      <c r="B3" s="12" t="s">
        <v>27</v>
      </c>
      <c r="C3" s="12" t="s">
        <v>29</v>
      </c>
      <c r="D3" s="45" t="s">
        <v>14</v>
      </c>
      <c r="E3" s="3" t="s">
        <v>15</v>
      </c>
      <c r="F3" s="3" t="s">
        <v>16</v>
      </c>
      <c r="G3" s="3" t="s">
        <v>17</v>
      </c>
      <c r="H3" s="3" t="s">
        <v>18</v>
      </c>
    </row>
    <row r="4" spans="1:8" ht="36" customHeight="1" x14ac:dyDescent="0.3">
      <c r="A4" s="44">
        <v>1</v>
      </c>
      <c r="B4" s="50" t="s">
        <v>91</v>
      </c>
      <c r="C4" s="50" t="s">
        <v>28</v>
      </c>
      <c r="D4" s="51" t="s">
        <v>92</v>
      </c>
      <c r="E4" s="50" t="s">
        <v>93</v>
      </c>
      <c r="F4" s="51" t="s">
        <v>94</v>
      </c>
      <c r="G4" s="50" t="s">
        <v>95</v>
      </c>
      <c r="H4" s="50" t="s">
        <v>255</v>
      </c>
    </row>
    <row r="5" spans="1:8" ht="36" customHeight="1" x14ac:dyDescent="0.3">
      <c r="A5" s="44">
        <f t="shared" ref="A5:A62" si="0">1+A4</f>
        <v>2</v>
      </c>
      <c r="B5" s="50" t="s">
        <v>148</v>
      </c>
      <c r="C5" s="50" t="s">
        <v>28</v>
      </c>
      <c r="D5" s="51" t="s">
        <v>149</v>
      </c>
      <c r="E5" s="50" t="s">
        <v>150</v>
      </c>
      <c r="F5" s="51" t="s">
        <v>151</v>
      </c>
      <c r="G5" s="50" t="s">
        <v>152</v>
      </c>
      <c r="H5" s="50" t="s">
        <v>255</v>
      </c>
    </row>
    <row r="6" spans="1:8" ht="36" customHeight="1" x14ac:dyDescent="0.3">
      <c r="A6" s="44">
        <f t="shared" si="0"/>
        <v>3</v>
      </c>
      <c r="B6" s="50" t="s">
        <v>203</v>
      </c>
      <c r="C6" s="50" t="s">
        <v>28</v>
      </c>
      <c r="D6" s="51" t="s">
        <v>204</v>
      </c>
      <c r="E6" s="50" t="s">
        <v>57</v>
      </c>
      <c r="F6" s="51" t="s">
        <v>205</v>
      </c>
      <c r="G6" s="50" t="s">
        <v>206</v>
      </c>
      <c r="H6" s="50" t="s">
        <v>255</v>
      </c>
    </row>
    <row r="7" spans="1:8" ht="36" customHeight="1" x14ac:dyDescent="0.3">
      <c r="A7" s="44">
        <f t="shared" si="0"/>
        <v>4</v>
      </c>
      <c r="B7" s="50" t="s">
        <v>153</v>
      </c>
      <c r="C7" s="50" t="s">
        <v>30</v>
      </c>
      <c r="D7" s="51" t="s">
        <v>154</v>
      </c>
      <c r="E7" s="50" t="s">
        <v>155</v>
      </c>
      <c r="F7" s="51" t="s">
        <v>156</v>
      </c>
      <c r="G7" s="50" t="s">
        <v>157</v>
      </c>
      <c r="H7" s="50" t="s">
        <v>255</v>
      </c>
    </row>
    <row r="8" spans="1:8" ht="36" customHeight="1" x14ac:dyDescent="0.3">
      <c r="A8" s="44">
        <f t="shared" si="0"/>
        <v>5</v>
      </c>
      <c r="B8" s="50" t="s">
        <v>195</v>
      </c>
      <c r="C8" s="50" t="s">
        <v>28</v>
      </c>
      <c r="D8" s="51" t="s">
        <v>196</v>
      </c>
      <c r="E8" s="50" t="s">
        <v>192</v>
      </c>
      <c r="F8" s="51" t="s">
        <v>197</v>
      </c>
      <c r="G8" s="50" t="s">
        <v>198</v>
      </c>
      <c r="H8" s="50" t="s">
        <v>255</v>
      </c>
    </row>
    <row r="9" spans="1:8" ht="36" customHeight="1" x14ac:dyDescent="0.3">
      <c r="A9" s="44">
        <f t="shared" si="0"/>
        <v>6</v>
      </c>
      <c r="B9" s="50" t="s">
        <v>176</v>
      </c>
      <c r="C9" s="50" t="s">
        <v>28</v>
      </c>
      <c r="D9" s="51" t="s">
        <v>177</v>
      </c>
      <c r="E9" s="50" t="s">
        <v>178</v>
      </c>
      <c r="F9" s="51" t="s">
        <v>179</v>
      </c>
      <c r="G9" s="50" t="s">
        <v>180</v>
      </c>
      <c r="H9" s="50" t="s">
        <v>255</v>
      </c>
    </row>
    <row r="10" spans="1:8" ht="36" customHeight="1" x14ac:dyDescent="0.3">
      <c r="A10" s="44">
        <f t="shared" si="0"/>
        <v>7</v>
      </c>
      <c r="B10" s="53" t="s">
        <v>64</v>
      </c>
      <c r="C10" s="50" t="s">
        <v>28</v>
      </c>
      <c r="D10" s="51" t="s">
        <v>65</v>
      </c>
      <c r="E10" s="50" t="s">
        <v>66</v>
      </c>
      <c r="F10" s="51" t="s">
        <v>67</v>
      </c>
      <c r="G10" s="50" t="s">
        <v>68</v>
      </c>
      <c r="H10" s="50" t="s">
        <v>255</v>
      </c>
    </row>
    <row r="11" spans="1:8" ht="36" customHeight="1" x14ac:dyDescent="0.3">
      <c r="A11" s="44">
        <f t="shared" si="0"/>
        <v>8</v>
      </c>
      <c r="B11" s="53" t="s">
        <v>158</v>
      </c>
      <c r="C11" s="50" t="s">
        <v>28</v>
      </c>
      <c r="D11" s="51" t="s">
        <v>159</v>
      </c>
      <c r="E11" s="50" t="s">
        <v>155</v>
      </c>
      <c r="F11" s="51" t="s">
        <v>160</v>
      </c>
      <c r="G11" s="50" t="s">
        <v>161</v>
      </c>
      <c r="H11" s="50" t="s">
        <v>255</v>
      </c>
    </row>
    <row r="12" spans="1:8" ht="36" customHeight="1" x14ac:dyDescent="0.3">
      <c r="A12" s="44">
        <f t="shared" si="0"/>
        <v>9</v>
      </c>
      <c r="B12" s="53" t="s">
        <v>236</v>
      </c>
      <c r="C12" s="50" t="s">
        <v>30</v>
      </c>
      <c r="D12" s="51" t="s">
        <v>237</v>
      </c>
      <c r="E12" s="50" t="s">
        <v>238</v>
      </c>
      <c r="F12" s="51" t="s">
        <v>239</v>
      </c>
      <c r="G12" s="50" t="s">
        <v>240</v>
      </c>
      <c r="H12" s="50" t="s">
        <v>255</v>
      </c>
    </row>
    <row r="13" spans="1:8" ht="36" customHeight="1" x14ac:dyDescent="0.3">
      <c r="A13" s="44">
        <f t="shared" si="0"/>
        <v>10</v>
      </c>
      <c r="B13" s="53" t="s">
        <v>186</v>
      </c>
      <c r="C13" s="50" t="s">
        <v>28</v>
      </c>
      <c r="D13" s="51" t="s">
        <v>187</v>
      </c>
      <c r="E13" s="50" t="s">
        <v>183</v>
      </c>
      <c r="F13" s="51" t="s">
        <v>188</v>
      </c>
      <c r="G13" s="50" t="s">
        <v>189</v>
      </c>
      <c r="H13" s="50" t="s">
        <v>255</v>
      </c>
    </row>
    <row r="14" spans="1:8" ht="36" customHeight="1" x14ac:dyDescent="0.3">
      <c r="A14" s="44">
        <f t="shared" si="0"/>
        <v>11</v>
      </c>
      <c r="B14" s="53" t="s">
        <v>138</v>
      </c>
      <c r="C14" s="50" t="s">
        <v>28</v>
      </c>
      <c r="D14" s="51" t="s">
        <v>139</v>
      </c>
      <c r="E14" s="50" t="s">
        <v>140</v>
      </c>
      <c r="F14" s="51" t="s">
        <v>141</v>
      </c>
      <c r="G14" s="50" t="s">
        <v>142</v>
      </c>
      <c r="H14" s="50" t="s">
        <v>255</v>
      </c>
    </row>
    <row r="15" spans="1:8" ht="36" customHeight="1" x14ac:dyDescent="0.3">
      <c r="A15" s="44">
        <f t="shared" si="0"/>
        <v>12</v>
      </c>
      <c r="B15" s="53" t="s">
        <v>100</v>
      </c>
      <c r="C15" s="50" t="s">
        <v>28</v>
      </c>
      <c r="D15" s="51" t="s">
        <v>101</v>
      </c>
      <c r="E15" s="50" t="s">
        <v>102</v>
      </c>
      <c r="F15" s="51" t="s">
        <v>103</v>
      </c>
      <c r="G15" s="50" t="s">
        <v>104</v>
      </c>
      <c r="H15" s="50" t="s">
        <v>255</v>
      </c>
    </row>
    <row r="16" spans="1:8" ht="36" customHeight="1" x14ac:dyDescent="0.3">
      <c r="A16" s="44">
        <f t="shared" si="0"/>
        <v>13</v>
      </c>
      <c r="B16" s="53" t="s">
        <v>86</v>
      </c>
      <c r="C16" s="50" t="s">
        <v>28</v>
      </c>
      <c r="D16" s="51" t="s">
        <v>87</v>
      </c>
      <c r="E16" s="50" t="s">
        <v>88</v>
      </c>
      <c r="F16" s="51" t="s">
        <v>89</v>
      </c>
      <c r="G16" s="50" t="s">
        <v>90</v>
      </c>
      <c r="H16" s="50" t="s">
        <v>255</v>
      </c>
    </row>
    <row r="17" spans="1:8" ht="36" customHeight="1" x14ac:dyDescent="0.3">
      <c r="A17" s="44">
        <f t="shared" si="0"/>
        <v>14</v>
      </c>
      <c r="B17" s="53" t="s">
        <v>219</v>
      </c>
      <c r="C17" s="50" t="s">
        <v>28</v>
      </c>
      <c r="D17" s="51" t="s">
        <v>220</v>
      </c>
      <c r="E17" s="50" t="s">
        <v>66</v>
      </c>
      <c r="F17" s="51" t="s">
        <v>221</v>
      </c>
      <c r="G17" s="50" t="s">
        <v>222</v>
      </c>
      <c r="H17" s="50" t="s">
        <v>255</v>
      </c>
    </row>
    <row r="18" spans="1:8" ht="36" customHeight="1" x14ac:dyDescent="0.3">
      <c r="A18" s="44">
        <f t="shared" si="0"/>
        <v>15</v>
      </c>
      <c r="B18" s="53" t="s">
        <v>251</v>
      </c>
      <c r="C18" s="50" t="s">
        <v>28</v>
      </c>
      <c r="D18" s="51" t="s">
        <v>252</v>
      </c>
      <c r="E18" s="50" t="s">
        <v>248</v>
      </c>
      <c r="F18" s="51" t="s">
        <v>253</v>
      </c>
      <c r="G18" s="50" t="s">
        <v>254</v>
      </c>
      <c r="H18" s="50" t="s">
        <v>255</v>
      </c>
    </row>
    <row r="19" spans="1:8" ht="36" customHeight="1" x14ac:dyDescent="0.3">
      <c r="A19" s="44">
        <f t="shared" si="0"/>
        <v>16</v>
      </c>
      <c r="B19" s="53" t="s">
        <v>32</v>
      </c>
      <c r="C19" s="50" t="s">
        <v>30</v>
      </c>
      <c r="D19" s="51" t="s">
        <v>33</v>
      </c>
      <c r="E19" s="50" t="s">
        <v>34</v>
      </c>
      <c r="F19" s="51" t="s">
        <v>35</v>
      </c>
      <c r="G19" s="50" t="s">
        <v>36</v>
      </c>
      <c r="H19" s="50" t="s">
        <v>255</v>
      </c>
    </row>
    <row r="20" spans="1:8" ht="36" customHeight="1" x14ac:dyDescent="0.3">
      <c r="A20" s="44">
        <f t="shared" si="0"/>
        <v>17</v>
      </c>
      <c r="B20" s="53" t="s">
        <v>55</v>
      </c>
      <c r="C20" s="50" t="s">
        <v>28</v>
      </c>
      <c r="D20" s="51" t="s">
        <v>56</v>
      </c>
      <c r="E20" s="50" t="s">
        <v>57</v>
      </c>
      <c r="F20" s="51" t="s">
        <v>58</v>
      </c>
      <c r="G20" s="50" t="s">
        <v>59</v>
      </c>
      <c r="H20" s="50" t="s">
        <v>255</v>
      </c>
    </row>
    <row r="21" spans="1:8" ht="36" customHeight="1" x14ac:dyDescent="0.3">
      <c r="A21" s="44">
        <f t="shared" si="0"/>
        <v>18</v>
      </c>
      <c r="B21" s="53" t="s">
        <v>114</v>
      </c>
      <c r="C21" s="50" t="s">
        <v>28</v>
      </c>
      <c r="D21" s="52" t="s">
        <v>115</v>
      </c>
      <c r="E21" s="50" t="s">
        <v>116</v>
      </c>
      <c r="F21" s="51" t="s">
        <v>117</v>
      </c>
      <c r="G21" s="50" t="s">
        <v>118</v>
      </c>
      <c r="H21" s="50" t="s">
        <v>255</v>
      </c>
    </row>
    <row r="22" spans="1:8" ht="36" customHeight="1" x14ac:dyDescent="0.3">
      <c r="A22" s="44">
        <f t="shared" si="0"/>
        <v>19</v>
      </c>
      <c r="B22" s="53" t="s">
        <v>124</v>
      </c>
      <c r="C22" s="50" t="s">
        <v>28</v>
      </c>
      <c r="D22" s="51" t="s">
        <v>125</v>
      </c>
      <c r="E22" s="50" t="s">
        <v>126</v>
      </c>
      <c r="F22" s="51" t="s">
        <v>127</v>
      </c>
      <c r="G22" s="50" t="s">
        <v>128</v>
      </c>
      <c r="H22" s="50" t="s">
        <v>255</v>
      </c>
    </row>
    <row r="23" spans="1:8" ht="36" customHeight="1" x14ac:dyDescent="0.3">
      <c r="A23" s="44">
        <f t="shared" si="0"/>
        <v>20</v>
      </c>
      <c r="B23" s="144" t="s">
        <v>167</v>
      </c>
      <c r="C23" s="50" t="s">
        <v>28</v>
      </c>
      <c r="D23" s="51" t="s">
        <v>168</v>
      </c>
      <c r="E23" s="50" t="s">
        <v>169</v>
      </c>
      <c r="F23" s="51" t="s">
        <v>170</v>
      </c>
      <c r="G23" s="50" t="s">
        <v>171</v>
      </c>
      <c r="H23" s="50" t="s">
        <v>255</v>
      </c>
    </row>
    <row r="24" spans="1:8" ht="36" customHeight="1" x14ac:dyDescent="0.3">
      <c r="A24" s="44">
        <f t="shared" si="0"/>
        <v>21</v>
      </c>
      <c r="B24" s="144" t="s">
        <v>199</v>
      </c>
      <c r="C24" s="50" t="s">
        <v>28</v>
      </c>
      <c r="D24" s="51" t="s">
        <v>200</v>
      </c>
      <c r="E24" s="50" t="s">
        <v>34</v>
      </c>
      <c r="F24" s="51" t="s">
        <v>201</v>
      </c>
      <c r="G24" s="50" t="s">
        <v>202</v>
      </c>
      <c r="H24" s="50" t="s">
        <v>255</v>
      </c>
    </row>
    <row r="25" spans="1:8" ht="36" customHeight="1" x14ac:dyDescent="0.3">
      <c r="A25" s="44">
        <f t="shared" si="0"/>
        <v>22</v>
      </c>
      <c r="B25" s="144" t="s">
        <v>69</v>
      </c>
      <c r="C25" s="50" t="s">
        <v>28</v>
      </c>
      <c r="D25" s="51" t="s">
        <v>70</v>
      </c>
      <c r="E25" s="50" t="s">
        <v>66</v>
      </c>
      <c r="F25" s="51" t="s">
        <v>71</v>
      </c>
      <c r="G25" s="50" t="s">
        <v>72</v>
      </c>
      <c r="H25" s="50" t="s">
        <v>255</v>
      </c>
    </row>
    <row r="26" spans="1:8" ht="36" customHeight="1" x14ac:dyDescent="0.3">
      <c r="A26" s="44">
        <f t="shared" si="0"/>
        <v>23</v>
      </c>
      <c r="B26" s="144" t="s">
        <v>241</v>
      </c>
      <c r="C26" s="50" t="s">
        <v>28</v>
      </c>
      <c r="D26" s="51" t="s">
        <v>242</v>
      </c>
      <c r="E26" s="50" t="s">
        <v>243</v>
      </c>
      <c r="F26" s="51" t="s">
        <v>244</v>
      </c>
      <c r="G26" s="50" t="s">
        <v>245</v>
      </c>
      <c r="H26" s="50" t="s">
        <v>255</v>
      </c>
    </row>
    <row r="27" spans="1:8" ht="36" customHeight="1" x14ac:dyDescent="0.3">
      <c r="A27" s="44">
        <f t="shared" si="0"/>
        <v>24</v>
      </c>
      <c r="B27" s="144" t="s">
        <v>41</v>
      </c>
      <c r="C27" s="50" t="s">
        <v>28</v>
      </c>
      <c r="D27" s="51" t="s">
        <v>42</v>
      </c>
      <c r="E27" s="50" t="s">
        <v>34</v>
      </c>
      <c r="F27" s="52" t="s">
        <v>43</v>
      </c>
      <c r="G27" s="50" t="s">
        <v>44</v>
      </c>
      <c r="H27" s="50" t="s">
        <v>255</v>
      </c>
    </row>
    <row r="28" spans="1:8" ht="36" customHeight="1" x14ac:dyDescent="0.3">
      <c r="A28" s="44">
        <f t="shared" si="0"/>
        <v>25</v>
      </c>
      <c r="B28" s="144" t="s">
        <v>77</v>
      </c>
      <c r="C28" s="50" t="s">
        <v>28</v>
      </c>
      <c r="D28" s="51" t="s">
        <v>78</v>
      </c>
      <c r="E28" s="50" t="s">
        <v>79</v>
      </c>
      <c r="F28" s="51" t="s">
        <v>80</v>
      </c>
      <c r="G28" s="50" t="s">
        <v>81</v>
      </c>
      <c r="H28" s="50" t="s">
        <v>255</v>
      </c>
    </row>
    <row r="29" spans="1:8" ht="36" customHeight="1" x14ac:dyDescent="0.3">
      <c r="A29" s="44">
        <f t="shared" si="0"/>
        <v>26</v>
      </c>
      <c r="B29" s="144" t="s">
        <v>246</v>
      </c>
      <c r="C29" s="50" t="s">
        <v>28</v>
      </c>
      <c r="D29" s="51" t="s">
        <v>247</v>
      </c>
      <c r="E29" s="50" t="s">
        <v>248</v>
      </c>
      <c r="F29" s="51" t="s">
        <v>249</v>
      </c>
      <c r="G29" s="50" t="s">
        <v>250</v>
      </c>
      <c r="H29" s="50" t="s">
        <v>255</v>
      </c>
    </row>
    <row r="30" spans="1:8" ht="36" customHeight="1" x14ac:dyDescent="0.3">
      <c r="A30" s="44">
        <f t="shared" si="0"/>
        <v>27</v>
      </c>
      <c r="B30" s="143" t="s">
        <v>223</v>
      </c>
      <c r="C30" s="50" t="s">
        <v>28</v>
      </c>
      <c r="D30" s="51" t="s">
        <v>224</v>
      </c>
      <c r="E30" s="50" t="s">
        <v>66</v>
      </c>
      <c r="F30" s="51" t="s">
        <v>225</v>
      </c>
      <c r="G30" s="50" t="s">
        <v>226</v>
      </c>
      <c r="H30" s="50" t="s">
        <v>255</v>
      </c>
    </row>
    <row r="31" spans="1:8" ht="36" customHeight="1" x14ac:dyDescent="0.3">
      <c r="A31" s="44">
        <f t="shared" si="0"/>
        <v>28</v>
      </c>
      <c r="B31" s="143" t="s">
        <v>207</v>
      </c>
      <c r="C31" s="50" t="s">
        <v>28</v>
      </c>
      <c r="D31" s="51" t="s">
        <v>208</v>
      </c>
      <c r="E31" s="50" t="s">
        <v>57</v>
      </c>
      <c r="F31" s="51" t="s">
        <v>209</v>
      </c>
      <c r="G31" s="50" t="s">
        <v>210</v>
      </c>
      <c r="H31" s="50" t="s">
        <v>255</v>
      </c>
    </row>
    <row r="32" spans="1:8" ht="36" customHeight="1" x14ac:dyDescent="0.3">
      <c r="A32" s="44">
        <f t="shared" si="0"/>
        <v>29</v>
      </c>
      <c r="B32" s="143" t="s">
        <v>211</v>
      </c>
      <c r="C32" s="50" t="s">
        <v>28</v>
      </c>
      <c r="D32" s="51" t="s">
        <v>212</v>
      </c>
      <c r="E32" s="50" t="s">
        <v>57</v>
      </c>
      <c r="F32" s="51" t="s">
        <v>213</v>
      </c>
      <c r="G32" s="50" t="s">
        <v>214</v>
      </c>
      <c r="H32" s="50" t="s">
        <v>255</v>
      </c>
    </row>
    <row r="33" spans="1:8" ht="36" customHeight="1" x14ac:dyDescent="0.3">
      <c r="A33" s="44">
        <f t="shared" si="0"/>
        <v>30</v>
      </c>
      <c r="B33" s="143" t="s">
        <v>215</v>
      </c>
      <c r="C33" s="50" t="s">
        <v>28</v>
      </c>
      <c r="D33" s="51" t="s">
        <v>216</v>
      </c>
      <c r="E33" s="50" t="s">
        <v>57</v>
      </c>
      <c r="F33" s="51" t="s">
        <v>217</v>
      </c>
      <c r="G33" s="50" t="s">
        <v>218</v>
      </c>
      <c r="H33" s="50" t="s">
        <v>255</v>
      </c>
    </row>
    <row r="34" spans="1:8" ht="36" customHeight="1" x14ac:dyDescent="0.3">
      <c r="A34" s="44">
        <f t="shared" si="0"/>
        <v>31</v>
      </c>
      <c r="B34" s="143" t="s">
        <v>227</v>
      </c>
      <c r="C34" s="50" t="s">
        <v>28</v>
      </c>
      <c r="D34" s="51" t="s">
        <v>228</v>
      </c>
      <c r="E34" s="50" t="s">
        <v>66</v>
      </c>
      <c r="F34" s="51" t="s">
        <v>229</v>
      </c>
      <c r="G34" s="50" t="s">
        <v>230</v>
      </c>
      <c r="H34" s="50" t="s">
        <v>255</v>
      </c>
    </row>
    <row r="35" spans="1:8" ht="36" customHeight="1" x14ac:dyDescent="0.3">
      <c r="A35" s="44">
        <f t="shared" si="0"/>
        <v>32</v>
      </c>
      <c r="B35" s="143" t="s">
        <v>73</v>
      </c>
      <c r="C35" s="50" t="s">
        <v>28</v>
      </c>
      <c r="D35" s="51" t="s">
        <v>74</v>
      </c>
      <c r="E35" s="50" t="s">
        <v>66</v>
      </c>
      <c r="F35" s="51" t="s">
        <v>75</v>
      </c>
      <c r="G35" s="50" t="s">
        <v>76</v>
      </c>
      <c r="H35" s="50" t="s">
        <v>255</v>
      </c>
    </row>
    <row r="36" spans="1:8" ht="36" customHeight="1" x14ac:dyDescent="0.3">
      <c r="A36" s="44">
        <f t="shared" si="0"/>
        <v>33</v>
      </c>
      <c r="B36" s="50" t="s">
        <v>129</v>
      </c>
      <c r="C36" s="50" t="s">
        <v>28</v>
      </c>
      <c r="D36" s="51" t="s">
        <v>130</v>
      </c>
      <c r="E36" s="50" t="s">
        <v>131</v>
      </c>
      <c r="F36" s="51" t="s">
        <v>132</v>
      </c>
      <c r="G36" s="50" t="s">
        <v>133</v>
      </c>
      <c r="H36" s="50" t="s">
        <v>255</v>
      </c>
    </row>
    <row r="37" spans="1:8" ht="36" customHeight="1" x14ac:dyDescent="0.3">
      <c r="A37" s="44">
        <f t="shared" si="0"/>
        <v>34</v>
      </c>
      <c r="B37" s="50" t="s">
        <v>82</v>
      </c>
      <c r="C37" s="50" t="s">
        <v>28</v>
      </c>
      <c r="D37" s="51" t="s">
        <v>83</v>
      </c>
      <c r="E37" s="50" t="s">
        <v>79</v>
      </c>
      <c r="F37" s="51" t="s">
        <v>84</v>
      </c>
      <c r="G37" s="50" t="s">
        <v>85</v>
      </c>
      <c r="H37" s="50" t="s">
        <v>255</v>
      </c>
    </row>
    <row r="38" spans="1:8" ht="36" customHeight="1" x14ac:dyDescent="0.3">
      <c r="A38" s="44">
        <f t="shared" si="0"/>
        <v>35</v>
      </c>
      <c r="B38" s="50" t="s">
        <v>37</v>
      </c>
      <c r="C38" s="50" t="s">
        <v>28</v>
      </c>
      <c r="D38" s="51" t="s">
        <v>38</v>
      </c>
      <c r="E38" s="50" t="s">
        <v>34</v>
      </c>
      <c r="F38" s="51" t="s">
        <v>39</v>
      </c>
      <c r="G38" s="50" t="s">
        <v>40</v>
      </c>
      <c r="H38" s="50" t="s">
        <v>255</v>
      </c>
    </row>
    <row r="39" spans="1:8" ht="36" customHeight="1" x14ac:dyDescent="0.3">
      <c r="A39" s="44">
        <f t="shared" si="0"/>
        <v>36</v>
      </c>
      <c r="B39" s="50" t="s">
        <v>60</v>
      </c>
      <c r="C39" s="50" t="s">
        <v>30</v>
      </c>
      <c r="D39" s="51" t="s">
        <v>61</v>
      </c>
      <c r="E39" s="50" t="s">
        <v>57</v>
      </c>
      <c r="F39" s="51" t="s">
        <v>62</v>
      </c>
      <c r="G39" s="50" t="s">
        <v>63</v>
      </c>
      <c r="H39" s="50" t="s">
        <v>255</v>
      </c>
    </row>
    <row r="40" spans="1:8" ht="36" customHeight="1" x14ac:dyDescent="0.3">
      <c r="A40" s="44">
        <f t="shared" si="0"/>
        <v>37</v>
      </c>
      <c r="B40" s="50" t="s">
        <v>181</v>
      </c>
      <c r="C40" s="50" t="s">
        <v>28</v>
      </c>
      <c r="D40" s="51" t="s">
        <v>182</v>
      </c>
      <c r="E40" s="50" t="s">
        <v>183</v>
      </c>
      <c r="F40" s="51" t="s">
        <v>184</v>
      </c>
      <c r="G40" s="50" t="s">
        <v>185</v>
      </c>
      <c r="H40" s="50" t="s">
        <v>255</v>
      </c>
    </row>
    <row r="41" spans="1:8" ht="36" customHeight="1" x14ac:dyDescent="0.3">
      <c r="A41" s="44">
        <f t="shared" si="0"/>
        <v>38</v>
      </c>
      <c r="B41" s="50" t="s">
        <v>50</v>
      </c>
      <c r="C41" s="50" t="s">
        <v>28</v>
      </c>
      <c r="D41" s="51" t="s">
        <v>51</v>
      </c>
      <c r="E41" s="50" t="s">
        <v>52</v>
      </c>
      <c r="F41" s="51" t="s">
        <v>53</v>
      </c>
      <c r="G41" s="50" t="s">
        <v>54</v>
      </c>
      <c r="H41" s="50" t="s">
        <v>255</v>
      </c>
    </row>
    <row r="42" spans="1:8" ht="36" customHeight="1" x14ac:dyDescent="0.3">
      <c r="A42" s="44">
        <f t="shared" si="0"/>
        <v>39</v>
      </c>
      <c r="B42" s="50" t="s">
        <v>143</v>
      </c>
      <c r="C42" s="50" t="s">
        <v>28</v>
      </c>
      <c r="D42" s="51" t="s">
        <v>144</v>
      </c>
      <c r="E42" s="50" t="s">
        <v>145</v>
      </c>
      <c r="F42" s="51" t="s">
        <v>146</v>
      </c>
      <c r="G42" s="50" t="s">
        <v>147</v>
      </c>
      <c r="H42" s="50" t="s">
        <v>255</v>
      </c>
    </row>
    <row r="43" spans="1:8" ht="36" customHeight="1" x14ac:dyDescent="0.3">
      <c r="A43" s="44">
        <f t="shared" si="0"/>
        <v>40</v>
      </c>
      <c r="B43" s="50" t="s">
        <v>172</v>
      </c>
      <c r="C43" s="50" t="s">
        <v>28</v>
      </c>
      <c r="D43" s="51" t="s">
        <v>173</v>
      </c>
      <c r="E43" s="50" t="s">
        <v>169</v>
      </c>
      <c r="F43" s="51" t="s">
        <v>174</v>
      </c>
      <c r="G43" s="50" t="s">
        <v>175</v>
      </c>
      <c r="H43" s="50" t="s">
        <v>255</v>
      </c>
    </row>
    <row r="44" spans="1:8" ht="36" customHeight="1" x14ac:dyDescent="0.3">
      <c r="A44" s="44">
        <f t="shared" si="0"/>
        <v>41</v>
      </c>
      <c r="B44" s="50" t="s">
        <v>45</v>
      </c>
      <c r="C44" s="50" t="s">
        <v>30</v>
      </c>
      <c r="D44" s="51" t="s">
        <v>46</v>
      </c>
      <c r="E44" s="50" t="s">
        <v>47</v>
      </c>
      <c r="F44" s="51" t="s">
        <v>48</v>
      </c>
      <c r="G44" s="50" t="s">
        <v>49</v>
      </c>
      <c r="H44" s="50" t="s">
        <v>255</v>
      </c>
    </row>
    <row r="45" spans="1:8" ht="36" customHeight="1" x14ac:dyDescent="0.3">
      <c r="A45" s="44">
        <f t="shared" si="0"/>
        <v>42</v>
      </c>
      <c r="B45" s="50" t="s">
        <v>119</v>
      </c>
      <c r="C45" s="50" t="s">
        <v>28</v>
      </c>
      <c r="D45" s="51" t="s">
        <v>120</v>
      </c>
      <c r="E45" s="50" t="s">
        <v>121</v>
      </c>
      <c r="F45" s="51" t="s">
        <v>122</v>
      </c>
      <c r="G45" s="50" t="s">
        <v>123</v>
      </c>
      <c r="H45" s="50" t="s">
        <v>255</v>
      </c>
    </row>
    <row r="46" spans="1:8" ht="36" customHeight="1" x14ac:dyDescent="0.3">
      <c r="A46" s="44">
        <f t="shared" si="0"/>
        <v>43</v>
      </c>
      <c r="B46" s="50" t="s">
        <v>96</v>
      </c>
      <c r="C46" s="50" t="s">
        <v>28</v>
      </c>
      <c r="D46" s="51" t="s">
        <v>97</v>
      </c>
      <c r="E46" s="50" t="s">
        <v>93</v>
      </c>
      <c r="F46" s="51" t="s">
        <v>98</v>
      </c>
      <c r="G46" s="50" t="s">
        <v>99</v>
      </c>
      <c r="H46" s="50" t="s">
        <v>255</v>
      </c>
    </row>
    <row r="47" spans="1:8" ht="36" customHeight="1" x14ac:dyDescent="0.3">
      <c r="A47" s="44">
        <f t="shared" si="0"/>
        <v>44</v>
      </c>
      <c r="B47" s="50" t="s">
        <v>162</v>
      </c>
      <c r="C47" s="50" t="s">
        <v>28</v>
      </c>
      <c r="D47" s="51" t="s">
        <v>163</v>
      </c>
      <c r="E47" s="50" t="s">
        <v>164</v>
      </c>
      <c r="F47" s="51" t="s">
        <v>165</v>
      </c>
      <c r="G47" s="50" t="s">
        <v>166</v>
      </c>
      <c r="H47" s="50" t="s">
        <v>255</v>
      </c>
    </row>
    <row r="48" spans="1:8" ht="36" customHeight="1" x14ac:dyDescent="0.3">
      <c r="A48" s="44">
        <f t="shared" si="0"/>
        <v>45</v>
      </c>
      <c r="B48" s="50" t="s">
        <v>134</v>
      </c>
      <c r="C48" s="50" t="s">
        <v>30</v>
      </c>
      <c r="D48" s="51" t="s">
        <v>135</v>
      </c>
      <c r="E48" s="50" t="s">
        <v>131</v>
      </c>
      <c r="F48" s="51" t="s">
        <v>136</v>
      </c>
      <c r="G48" s="50" t="s">
        <v>137</v>
      </c>
      <c r="H48" s="50" t="s">
        <v>255</v>
      </c>
    </row>
    <row r="49" spans="1:8" ht="36" customHeight="1" x14ac:dyDescent="0.3">
      <c r="A49" s="44">
        <f t="shared" si="0"/>
        <v>46</v>
      </c>
      <c r="B49" s="50" t="s">
        <v>105</v>
      </c>
      <c r="C49" s="50" t="s">
        <v>28</v>
      </c>
      <c r="D49" s="51" t="s">
        <v>106</v>
      </c>
      <c r="E49" s="50" t="s">
        <v>102</v>
      </c>
      <c r="F49" s="51" t="s">
        <v>107</v>
      </c>
      <c r="G49" s="50" t="s">
        <v>108</v>
      </c>
      <c r="H49" s="50" t="s">
        <v>255</v>
      </c>
    </row>
    <row r="50" spans="1:8" ht="36" customHeight="1" x14ac:dyDescent="0.3">
      <c r="A50" s="44">
        <f t="shared" si="0"/>
        <v>47</v>
      </c>
      <c r="B50" s="50" t="s">
        <v>231</v>
      </c>
      <c r="C50" s="50" t="s">
        <v>28</v>
      </c>
      <c r="D50" s="51" t="s">
        <v>232</v>
      </c>
      <c r="E50" s="50" t="s">
        <v>233</v>
      </c>
      <c r="F50" s="51" t="s">
        <v>234</v>
      </c>
      <c r="G50" s="50" t="s">
        <v>235</v>
      </c>
      <c r="H50" s="50" t="s">
        <v>255</v>
      </c>
    </row>
    <row r="51" spans="1:8" ht="36" customHeight="1" x14ac:dyDescent="0.3">
      <c r="A51" s="44">
        <f t="shared" si="0"/>
        <v>48</v>
      </c>
      <c r="B51" s="50" t="s">
        <v>190</v>
      </c>
      <c r="C51" s="50" t="s">
        <v>28</v>
      </c>
      <c r="D51" s="51" t="s">
        <v>191</v>
      </c>
      <c r="E51" s="50" t="s">
        <v>192</v>
      </c>
      <c r="F51" s="51" t="s">
        <v>193</v>
      </c>
      <c r="G51" s="50" t="s">
        <v>194</v>
      </c>
      <c r="H51" s="50" t="s">
        <v>255</v>
      </c>
    </row>
    <row r="52" spans="1:8" ht="36" customHeight="1" x14ac:dyDescent="0.3">
      <c r="A52" s="44">
        <f t="shared" si="0"/>
        <v>49</v>
      </c>
      <c r="B52" s="50" t="s">
        <v>109</v>
      </c>
      <c r="C52" s="50" t="s">
        <v>28</v>
      </c>
      <c r="D52" s="51" t="s">
        <v>110</v>
      </c>
      <c r="E52" s="50" t="s">
        <v>111</v>
      </c>
      <c r="F52" s="51" t="s">
        <v>112</v>
      </c>
      <c r="G52" s="50" t="s">
        <v>113</v>
      </c>
      <c r="H52" s="50" t="s">
        <v>255</v>
      </c>
    </row>
    <row r="53" spans="1:8" ht="36" customHeight="1" x14ac:dyDescent="0.3">
      <c r="A53" s="44">
        <f t="shared" si="0"/>
        <v>50</v>
      </c>
      <c r="B53" s="49"/>
      <c r="C53" s="15"/>
      <c r="D53" s="46"/>
      <c r="E53" s="16"/>
      <c r="F53" s="15"/>
      <c r="G53" s="18"/>
      <c r="H53" s="49"/>
    </row>
    <row r="54" spans="1:8" ht="36" customHeight="1" x14ac:dyDescent="0.3">
      <c r="A54" s="44">
        <f t="shared" si="0"/>
        <v>51</v>
      </c>
      <c r="B54" s="49"/>
      <c r="C54" s="15"/>
      <c r="D54" s="46"/>
      <c r="E54" s="16"/>
      <c r="F54" s="15"/>
      <c r="G54" s="18"/>
      <c r="H54" s="49"/>
    </row>
    <row r="55" spans="1:8" ht="36" customHeight="1" x14ac:dyDescent="0.3">
      <c r="A55" s="44">
        <f t="shared" si="0"/>
        <v>52</v>
      </c>
      <c r="B55" s="49"/>
      <c r="C55" s="15"/>
      <c r="D55" s="46"/>
      <c r="E55" s="16"/>
      <c r="F55" s="15"/>
      <c r="G55" s="18"/>
      <c r="H55" s="49"/>
    </row>
    <row r="56" spans="1:8" ht="36" customHeight="1" x14ac:dyDescent="0.3">
      <c r="A56" s="44">
        <f t="shared" si="0"/>
        <v>53</v>
      </c>
      <c r="B56" s="49"/>
      <c r="C56" s="15"/>
      <c r="D56" s="46"/>
      <c r="E56" s="16"/>
      <c r="F56" s="15"/>
      <c r="G56" s="18"/>
      <c r="H56" s="49"/>
    </row>
    <row r="57" spans="1:8" ht="36" customHeight="1" x14ac:dyDescent="0.3">
      <c r="A57" s="44">
        <f t="shared" si="0"/>
        <v>54</v>
      </c>
      <c r="B57" s="49"/>
      <c r="C57" s="15"/>
      <c r="D57" s="46"/>
      <c r="E57" s="16"/>
      <c r="F57" s="15"/>
      <c r="G57" s="18"/>
      <c r="H57" s="49"/>
    </row>
    <row r="58" spans="1:8" ht="36" customHeight="1" x14ac:dyDescent="0.3">
      <c r="A58" s="44">
        <f t="shared" si="0"/>
        <v>55</v>
      </c>
      <c r="B58" s="48"/>
      <c r="C58" s="15"/>
      <c r="D58" s="46"/>
      <c r="E58" s="16"/>
      <c r="F58" s="15"/>
      <c r="G58" s="18"/>
      <c r="H58" s="49"/>
    </row>
    <row r="59" spans="1:8" ht="36" customHeight="1" x14ac:dyDescent="0.3">
      <c r="A59" s="44">
        <f t="shared" si="0"/>
        <v>56</v>
      </c>
      <c r="B59" s="16"/>
      <c r="C59" s="15"/>
      <c r="D59" s="46"/>
      <c r="E59" s="16"/>
      <c r="F59" s="15"/>
      <c r="G59" s="18"/>
      <c r="H59" s="49"/>
    </row>
    <row r="60" spans="1:8" ht="36" customHeight="1" x14ac:dyDescent="0.3">
      <c r="A60" s="44">
        <f t="shared" si="0"/>
        <v>57</v>
      </c>
      <c r="B60" s="16"/>
      <c r="C60" s="15"/>
      <c r="D60" s="46"/>
      <c r="E60" s="16"/>
      <c r="F60" s="15"/>
      <c r="G60" s="18"/>
      <c r="H60" s="49"/>
    </row>
    <row r="61" spans="1:8" ht="36" customHeight="1" x14ac:dyDescent="0.3">
      <c r="A61" s="44">
        <f t="shared" si="0"/>
        <v>58</v>
      </c>
      <c r="B61" s="16"/>
      <c r="C61" s="15"/>
      <c r="D61" s="46"/>
      <c r="E61" s="16"/>
      <c r="F61" s="15"/>
      <c r="G61" s="18"/>
      <c r="H61" s="15"/>
    </row>
    <row r="62" spans="1:8" x14ac:dyDescent="0.3">
      <c r="A62" s="44">
        <f t="shared" si="0"/>
        <v>59</v>
      </c>
    </row>
  </sheetData>
  <sortState xmlns:xlrd2="http://schemas.microsoft.com/office/spreadsheetml/2017/richdata2" ref="B4:H52">
    <sortCondition ref="B4:B52"/>
  </sortState>
  <mergeCells count="2">
    <mergeCell ref="A2:H2"/>
    <mergeCell ref="A1:H1"/>
  </mergeCells>
  <phoneticPr fontId="2" type="noConversion"/>
  <conditionalFormatting sqref="D4:D52">
    <cfRule type="duplicateValues" dxfId="0" priority="1"/>
  </conditionalFormatting>
  <pageMargins left="0.19685039370078741" right="0.19685039370078741" top="0.19685039370078741" bottom="0.19685039370078741" header="0.31496062992125984" footer="0.31496062992125984"/>
  <pageSetup scale="8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4"/>
  <sheetViews>
    <sheetView topLeftCell="A46" zoomScale="85" zoomScaleNormal="85" workbookViewId="0">
      <selection activeCell="E54" sqref="E54"/>
    </sheetView>
  </sheetViews>
  <sheetFormatPr baseColWidth="10" defaultRowHeight="14.4" x14ac:dyDescent="0.3"/>
  <cols>
    <col min="2" max="2" width="34.5546875" bestFit="1" customWidth="1"/>
    <col min="3" max="3" width="16.6640625" customWidth="1"/>
    <col min="4" max="7" width="7.33203125" customWidth="1"/>
    <col min="8" max="8" width="7.33203125" style="2" customWidth="1"/>
    <col min="9" max="16" width="7.33203125" customWidth="1"/>
    <col min="17" max="17" width="7.33203125" style="2" customWidth="1"/>
    <col min="18" max="25" width="7.33203125" customWidth="1"/>
    <col min="26" max="26" width="7.33203125" style="2" customWidth="1"/>
    <col min="27" max="30" width="7.33203125" customWidth="1"/>
    <col min="31" max="31" width="7.33203125" style="2" customWidth="1"/>
  </cols>
  <sheetData>
    <row r="1" spans="1:31" ht="66" customHeight="1" thickBot="1" x14ac:dyDescent="0.35">
      <c r="B1" s="65" t="s">
        <v>20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1:31" ht="20.100000000000001" customHeight="1" x14ac:dyDescent="0.4">
      <c r="A2" s="66" t="s">
        <v>13</v>
      </c>
      <c r="B2" s="90" t="s">
        <v>22</v>
      </c>
      <c r="C2" s="66" t="s">
        <v>3</v>
      </c>
      <c r="D2" s="83" t="s">
        <v>21</v>
      </c>
      <c r="E2" s="84"/>
      <c r="F2" s="84"/>
      <c r="G2" s="84"/>
      <c r="H2" s="85"/>
      <c r="I2" s="68" t="s">
        <v>21</v>
      </c>
      <c r="J2" s="69"/>
      <c r="K2" s="69"/>
      <c r="L2" s="69"/>
      <c r="M2" s="69"/>
      <c r="N2" s="69"/>
      <c r="O2" s="69"/>
      <c r="P2" s="69"/>
      <c r="Q2" s="70"/>
      <c r="R2" s="77" t="s">
        <v>21</v>
      </c>
      <c r="S2" s="78"/>
      <c r="T2" s="78"/>
      <c r="U2" s="78"/>
      <c r="V2" s="78"/>
      <c r="W2" s="78"/>
      <c r="X2" s="78"/>
      <c r="Y2" s="78"/>
      <c r="Z2" s="79"/>
      <c r="AA2" s="58" t="s">
        <v>21</v>
      </c>
      <c r="AB2" s="59"/>
      <c r="AC2" s="59"/>
      <c r="AD2" s="59"/>
      <c r="AE2" s="60"/>
    </row>
    <row r="3" spans="1:31" ht="15" customHeight="1" x14ac:dyDescent="0.3">
      <c r="A3" s="67"/>
      <c r="B3" s="91"/>
      <c r="C3" s="67"/>
      <c r="D3" s="86" t="s">
        <v>7</v>
      </c>
      <c r="E3" s="87"/>
      <c r="F3" s="87"/>
      <c r="G3" s="87"/>
      <c r="H3" s="88"/>
      <c r="I3" s="71" t="s">
        <v>2</v>
      </c>
      <c r="J3" s="72"/>
      <c r="K3" s="72"/>
      <c r="L3" s="72"/>
      <c r="M3" s="72"/>
      <c r="N3" s="72"/>
      <c r="O3" s="72"/>
      <c r="P3" s="72"/>
      <c r="Q3" s="73"/>
      <c r="R3" s="80" t="s">
        <v>1</v>
      </c>
      <c r="S3" s="81"/>
      <c r="T3" s="81"/>
      <c r="U3" s="81"/>
      <c r="V3" s="81"/>
      <c r="W3" s="81"/>
      <c r="X3" s="81"/>
      <c r="Y3" s="81"/>
      <c r="Z3" s="82"/>
      <c r="AA3" s="61" t="s">
        <v>0</v>
      </c>
      <c r="AB3" s="62"/>
      <c r="AC3" s="62"/>
      <c r="AD3" s="62"/>
      <c r="AE3" s="63"/>
    </row>
    <row r="4" spans="1:31" ht="35.25" customHeight="1" x14ac:dyDescent="0.3">
      <c r="A4" s="67"/>
      <c r="B4" s="91"/>
      <c r="C4" s="67"/>
      <c r="D4" s="89" t="s">
        <v>23</v>
      </c>
      <c r="E4" s="75"/>
      <c r="F4" s="75"/>
      <c r="G4" s="76"/>
      <c r="H4" s="1"/>
      <c r="I4" s="74" t="s">
        <v>24</v>
      </c>
      <c r="J4" s="75"/>
      <c r="K4" s="75"/>
      <c r="L4" s="75"/>
      <c r="M4" s="75"/>
      <c r="N4" s="75"/>
      <c r="O4" s="75"/>
      <c r="P4" s="76"/>
      <c r="Q4" s="3"/>
      <c r="R4" s="74" t="s">
        <v>24</v>
      </c>
      <c r="S4" s="75"/>
      <c r="T4" s="75"/>
      <c r="U4" s="75"/>
      <c r="V4" s="75"/>
      <c r="W4" s="75"/>
      <c r="X4" s="75"/>
      <c r="Y4" s="76"/>
      <c r="Z4" s="13"/>
      <c r="AA4" s="64" t="s">
        <v>24</v>
      </c>
      <c r="AB4" s="64"/>
      <c r="AC4" s="64"/>
      <c r="AD4" s="64"/>
      <c r="AE4" s="3"/>
    </row>
    <row r="5" spans="1:31" ht="27.75" customHeight="1" x14ac:dyDescent="0.3">
      <c r="A5" s="67"/>
      <c r="B5" s="91"/>
      <c r="C5" s="67"/>
      <c r="D5" s="34"/>
      <c r="E5" s="34"/>
      <c r="F5" s="34"/>
      <c r="G5" s="34"/>
      <c r="H5" s="12" t="s">
        <v>19</v>
      </c>
      <c r="I5" s="29"/>
      <c r="J5" s="29"/>
      <c r="K5" s="29"/>
      <c r="L5" s="29"/>
      <c r="M5" s="29"/>
      <c r="N5" s="29"/>
      <c r="O5" s="29"/>
      <c r="P5" s="29"/>
      <c r="Q5" s="12" t="s">
        <v>19</v>
      </c>
      <c r="R5" s="35"/>
      <c r="S5" s="35"/>
      <c r="T5" s="35"/>
      <c r="U5" s="35"/>
      <c r="V5" s="35"/>
      <c r="W5" s="35"/>
      <c r="X5" s="35"/>
      <c r="Y5" s="36"/>
      <c r="Z5" s="12" t="s">
        <v>19</v>
      </c>
      <c r="AA5" s="37"/>
      <c r="AB5" s="29"/>
      <c r="AC5" s="29"/>
      <c r="AD5" s="29"/>
      <c r="AE5" s="12" t="s">
        <v>19</v>
      </c>
    </row>
    <row r="6" spans="1:31" ht="19.8" x14ac:dyDescent="0.3">
      <c r="A6" s="21">
        <v>1</v>
      </c>
      <c r="B6" s="19" t="str">
        <f>+Inscritos!B4</f>
        <v>ALEJANDRO ALVAREZ SIMANCA</v>
      </c>
      <c r="C6" s="19" t="str">
        <f>+Inscritos!D4</f>
        <v>1063289594</v>
      </c>
      <c r="D6" s="14"/>
      <c r="E6" s="14"/>
      <c r="F6" s="14"/>
      <c r="G6" s="14"/>
      <c r="H6" s="38">
        <f t="shared" ref="H6:H54" si="0">+SUM(D6:G6)/4</f>
        <v>0</v>
      </c>
      <c r="I6" s="39"/>
      <c r="J6" s="39"/>
      <c r="K6" s="39"/>
      <c r="L6" s="39"/>
      <c r="M6" s="39"/>
      <c r="N6" s="39"/>
      <c r="O6" s="39"/>
      <c r="P6" s="40"/>
      <c r="Q6" s="38">
        <f t="shared" ref="Q6:Q54" si="1">+SUM(I6:P6)/8</f>
        <v>0</v>
      </c>
      <c r="R6" s="39"/>
      <c r="S6" s="39"/>
      <c r="T6" s="39"/>
      <c r="U6" s="40"/>
      <c r="V6" s="40"/>
      <c r="W6" s="40"/>
      <c r="X6" s="40"/>
      <c r="Y6" s="39"/>
      <c r="Z6" s="38">
        <f t="shared" ref="Z6:Z54" si="2">+SUM(R6:Y6)/8</f>
        <v>0</v>
      </c>
      <c r="AA6" s="41"/>
      <c r="AB6" s="40"/>
      <c r="AC6" s="40"/>
      <c r="AD6" s="40"/>
      <c r="AE6" s="38">
        <f t="shared" ref="AE6:AE54" si="3">+SUM(AA6:AD6)/4</f>
        <v>0</v>
      </c>
    </row>
    <row r="7" spans="1:31" ht="19.8" x14ac:dyDescent="0.3">
      <c r="A7" s="21">
        <v>2</v>
      </c>
      <c r="B7" s="19" t="str">
        <f>+Inscritos!B5</f>
        <v xml:space="preserve">ALEJANDRO VILLALOBOS HUERTA </v>
      </c>
      <c r="C7" s="22" t="str">
        <f>+Inscritos!D5</f>
        <v>1063291700</v>
      </c>
      <c r="D7" s="14"/>
      <c r="E7" s="14"/>
      <c r="F7" s="14"/>
      <c r="G7" s="14"/>
      <c r="H7" s="38">
        <f t="shared" si="0"/>
        <v>0</v>
      </c>
      <c r="I7" s="39"/>
      <c r="J7" s="39"/>
      <c r="K7" s="39"/>
      <c r="L7" s="39"/>
      <c r="M7" s="39"/>
      <c r="N7" s="39"/>
      <c r="O7" s="39"/>
      <c r="P7" s="40"/>
      <c r="Q7" s="38">
        <f t="shared" si="1"/>
        <v>0</v>
      </c>
      <c r="R7" s="39"/>
      <c r="S7" s="39"/>
      <c r="T7" s="39"/>
      <c r="U7" s="40"/>
      <c r="V7" s="40"/>
      <c r="W7" s="40"/>
      <c r="X7" s="40"/>
      <c r="Y7" s="39"/>
      <c r="Z7" s="38">
        <f t="shared" si="2"/>
        <v>0</v>
      </c>
      <c r="AA7" s="41"/>
      <c r="AB7" s="40"/>
      <c r="AC7" s="40"/>
      <c r="AD7" s="40"/>
      <c r="AE7" s="38">
        <f t="shared" si="3"/>
        <v>0</v>
      </c>
    </row>
    <row r="8" spans="1:31" ht="19.8" x14ac:dyDescent="0.3">
      <c r="A8" s="21">
        <v>3</v>
      </c>
      <c r="B8" s="19" t="str">
        <f>+Inscritos!B6</f>
        <v xml:space="preserve">ANA SOFIA ACOSTA DE LA ROSA </v>
      </c>
      <c r="C8" s="22" t="str">
        <f>+Inscritos!D6</f>
        <v>1063360341</v>
      </c>
      <c r="D8" s="14"/>
      <c r="E8" s="14"/>
      <c r="F8" s="14"/>
      <c r="G8" s="14"/>
      <c r="H8" s="38">
        <f t="shared" si="0"/>
        <v>0</v>
      </c>
      <c r="I8" s="39"/>
      <c r="J8" s="39"/>
      <c r="K8" s="39"/>
      <c r="L8" s="39"/>
      <c r="M8" s="39"/>
      <c r="N8" s="39"/>
      <c r="O8" s="39"/>
      <c r="P8" s="40"/>
      <c r="Q8" s="38">
        <f t="shared" si="1"/>
        <v>0</v>
      </c>
      <c r="R8" s="39"/>
      <c r="S8" s="39"/>
      <c r="T8" s="39"/>
      <c r="U8" s="40"/>
      <c r="V8" s="40"/>
      <c r="W8" s="40"/>
      <c r="X8" s="40"/>
      <c r="Y8" s="39"/>
      <c r="Z8" s="38">
        <f t="shared" si="2"/>
        <v>0</v>
      </c>
      <c r="AA8" s="41"/>
      <c r="AB8" s="40"/>
      <c r="AC8" s="40"/>
      <c r="AD8" s="40"/>
      <c r="AE8" s="38">
        <f t="shared" si="3"/>
        <v>0</v>
      </c>
    </row>
    <row r="9" spans="1:31" s="20" customFormat="1" ht="19.8" x14ac:dyDescent="0.3">
      <c r="A9" s="21">
        <v>4</v>
      </c>
      <c r="B9" s="19" t="str">
        <f>+Inscritos!B7</f>
        <v xml:space="preserve">ANDRÉS CAMILO NAVARRO ENSUNCHO </v>
      </c>
      <c r="C9" s="22" t="str">
        <f>+Inscritos!D7</f>
        <v>1063788976</v>
      </c>
      <c r="D9" s="14"/>
      <c r="E9" s="14"/>
      <c r="F9" s="14"/>
      <c r="G9" s="14"/>
      <c r="H9" s="38">
        <f t="shared" si="0"/>
        <v>0</v>
      </c>
      <c r="I9" s="39"/>
      <c r="J9" s="39"/>
      <c r="K9" s="39"/>
      <c r="L9" s="39"/>
      <c r="M9" s="39"/>
      <c r="N9" s="39"/>
      <c r="O9" s="39"/>
      <c r="P9" s="39"/>
      <c r="Q9" s="38">
        <f t="shared" si="1"/>
        <v>0</v>
      </c>
      <c r="R9" s="39"/>
      <c r="S9" s="39"/>
      <c r="T9" s="39"/>
      <c r="U9" s="40"/>
      <c r="V9" s="40"/>
      <c r="W9" s="40"/>
      <c r="X9" s="40"/>
      <c r="Y9" s="39"/>
      <c r="Z9" s="38">
        <f t="shared" si="2"/>
        <v>0</v>
      </c>
      <c r="AA9" s="41"/>
      <c r="AB9" s="40"/>
      <c r="AC9" s="40"/>
      <c r="AD9" s="40"/>
      <c r="AE9" s="38">
        <f t="shared" si="3"/>
        <v>0</v>
      </c>
    </row>
    <row r="10" spans="1:31" ht="19.8" x14ac:dyDescent="0.3">
      <c r="A10" s="21">
        <v>5</v>
      </c>
      <c r="B10" s="19" t="str">
        <f>+Inscritos!B8</f>
        <v xml:space="preserve">ANDRES JOSE MARTINEZ ARRIETA </v>
      </c>
      <c r="C10" s="22" t="str">
        <f>+Inscritos!D8</f>
        <v>1063780083</v>
      </c>
      <c r="D10" s="14"/>
      <c r="E10" s="14"/>
      <c r="F10" s="14"/>
      <c r="G10" s="14"/>
      <c r="H10" s="38">
        <f t="shared" si="0"/>
        <v>0</v>
      </c>
      <c r="I10" s="39"/>
      <c r="J10" s="39"/>
      <c r="K10" s="39"/>
      <c r="L10" s="39"/>
      <c r="M10" s="39"/>
      <c r="N10" s="39"/>
      <c r="O10" s="39"/>
      <c r="P10" s="39"/>
      <c r="Q10" s="38">
        <f t="shared" si="1"/>
        <v>0</v>
      </c>
      <c r="R10" s="39"/>
      <c r="S10" s="39"/>
      <c r="T10" s="39"/>
      <c r="U10" s="40"/>
      <c r="V10" s="40"/>
      <c r="W10" s="40"/>
      <c r="X10" s="40"/>
      <c r="Y10" s="39"/>
      <c r="Z10" s="38">
        <f t="shared" si="2"/>
        <v>0</v>
      </c>
      <c r="AA10" s="41"/>
      <c r="AB10" s="40"/>
      <c r="AC10" s="40"/>
      <c r="AD10" s="40"/>
      <c r="AE10" s="38">
        <f t="shared" si="3"/>
        <v>0</v>
      </c>
    </row>
    <row r="11" spans="1:31" s="20" customFormat="1" ht="19.8" x14ac:dyDescent="0.3">
      <c r="A11" s="21">
        <v>6</v>
      </c>
      <c r="B11" s="19" t="str">
        <f>+Inscritos!B9</f>
        <v>ÁNGEL EMIRO HERNÁNDEZ LARIOS</v>
      </c>
      <c r="C11" s="22" t="str">
        <f>+Inscritos!D9</f>
        <v>1064193460</v>
      </c>
      <c r="D11" s="14"/>
      <c r="E11" s="14"/>
      <c r="F11" s="14"/>
      <c r="G11" s="14"/>
      <c r="H11" s="38">
        <f t="shared" si="0"/>
        <v>0</v>
      </c>
      <c r="I11" s="39"/>
      <c r="J11" s="39"/>
      <c r="K11" s="39"/>
      <c r="L11" s="39"/>
      <c r="M11" s="39"/>
      <c r="N11" s="39"/>
      <c r="O11" s="39"/>
      <c r="P11" s="40"/>
      <c r="Q11" s="38">
        <f t="shared" si="1"/>
        <v>0</v>
      </c>
      <c r="R11" s="39"/>
      <c r="S11" s="39"/>
      <c r="T11" s="39"/>
      <c r="U11" s="40"/>
      <c r="V11" s="40"/>
      <c r="W11" s="40"/>
      <c r="X11" s="40"/>
      <c r="Y11" s="39"/>
      <c r="Z11" s="38">
        <f t="shared" si="2"/>
        <v>0</v>
      </c>
      <c r="AA11" s="41"/>
      <c r="AB11" s="40"/>
      <c r="AC11" s="40"/>
      <c r="AD11" s="40"/>
      <c r="AE11" s="38">
        <f t="shared" si="3"/>
        <v>0</v>
      </c>
    </row>
    <row r="12" spans="1:31" s="20" customFormat="1" ht="19.8" x14ac:dyDescent="0.3">
      <c r="A12" s="21">
        <v>7</v>
      </c>
      <c r="B12" s="19" t="str">
        <f>+Inscritos!B10</f>
        <v xml:space="preserve">ANISLEY GUZMÁN AGAMES </v>
      </c>
      <c r="C12" s="22" t="str">
        <f>+Inscritos!D10</f>
        <v>1063789960</v>
      </c>
      <c r="D12" s="14"/>
      <c r="E12" s="14"/>
      <c r="F12" s="14"/>
      <c r="G12" s="14"/>
      <c r="H12" s="38">
        <f t="shared" si="0"/>
        <v>0</v>
      </c>
      <c r="I12" s="39"/>
      <c r="J12" s="39"/>
      <c r="K12" s="39"/>
      <c r="L12" s="39"/>
      <c r="M12" s="39"/>
      <c r="N12" s="39"/>
      <c r="O12" s="39"/>
      <c r="P12" s="40"/>
      <c r="Q12" s="38">
        <f t="shared" si="1"/>
        <v>0</v>
      </c>
      <c r="R12" s="39"/>
      <c r="S12" s="39"/>
      <c r="T12" s="39"/>
      <c r="U12" s="40"/>
      <c r="V12" s="40"/>
      <c r="W12" s="40"/>
      <c r="X12" s="40"/>
      <c r="Y12" s="39"/>
      <c r="Z12" s="38">
        <f t="shared" si="2"/>
        <v>0</v>
      </c>
      <c r="AA12" s="41"/>
      <c r="AB12" s="40"/>
      <c r="AC12" s="40"/>
      <c r="AD12" s="40"/>
      <c r="AE12" s="38">
        <f t="shared" si="3"/>
        <v>0</v>
      </c>
    </row>
    <row r="13" spans="1:31" ht="19.8" x14ac:dyDescent="0.3">
      <c r="A13" s="21">
        <v>8</v>
      </c>
      <c r="B13" s="19" t="str">
        <f>+Inscritos!B11</f>
        <v xml:space="preserve">BRENDA MELISA PATERNINA ROJAS </v>
      </c>
      <c r="C13" s="22" t="str">
        <f>+Inscritos!D11</f>
        <v>1063290465</v>
      </c>
      <c r="D13" s="14"/>
      <c r="E13" s="14"/>
      <c r="F13" s="14"/>
      <c r="G13" s="14"/>
      <c r="H13" s="38">
        <f t="shared" si="0"/>
        <v>0</v>
      </c>
      <c r="I13" s="39"/>
      <c r="J13" s="39"/>
      <c r="K13" s="39"/>
      <c r="L13" s="39"/>
      <c r="M13" s="39"/>
      <c r="N13" s="39"/>
      <c r="O13" s="39"/>
      <c r="P13" s="39"/>
      <c r="Q13" s="38">
        <f t="shared" si="1"/>
        <v>0</v>
      </c>
      <c r="R13" s="39"/>
      <c r="S13" s="39"/>
      <c r="T13" s="39"/>
      <c r="U13" s="40"/>
      <c r="V13" s="40"/>
      <c r="W13" s="40"/>
      <c r="X13" s="40"/>
      <c r="Y13" s="39"/>
      <c r="Z13" s="38">
        <f t="shared" si="2"/>
        <v>0</v>
      </c>
      <c r="AA13" s="41"/>
      <c r="AB13" s="40"/>
      <c r="AC13" s="40"/>
      <c r="AD13" s="40"/>
      <c r="AE13" s="38">
        <f t="shared" si="3"/>
        <v>0</v>
      </c>
    </row>
    <row r="14" spans="1:31" ht="19.8" x14ac:dyDescent="0.3">
      <c r="A14" s="21">
        <v>9</v>
      </c>
      <c r="B14" s="19" t="str">
        <f>+Inscritos!B12</f>
        <v xml:space="preserve">CAMILO ANDRÉS VERGARA LÓPEZ </v>
      </c>
      <c r="C14" s="22" t="str">
        <f>+Inscritos!D12</f>
        <v>1063287690</v>
      </c>
      <c r="D14" s="14"/>
      <c r="E14" s="14"/>
      <c r="F14" s="14"/>
      <c r="G14" s="14"/>
      <c r="H14" s="38">
        <f t="shared" si="0"/>
        <v>0</v>
      </c>
      <c r="I14" s="39"/>
      <c r="J14" s="39"/>
      <c r="K14" s="39"/>
      <c r="L14" s="39"/>
      <c r="M14" s="39"/>
      <c r="N14" s="39"/>
      <c r="O14" s="39"/>
      <c r="P14" s="40"/>
      <c r="Q14" s="38">
        <f t="shared" si="1"/>
        <v>0</v>
      </c>
      <c r="R14" s="39"/>
      <c r="S14" s="39"/>
      <c r="T14" s="39"/>
      <c r="U14" s="40"/>
      <c r="V14" s="40"/>
      <c r="W14" s="40"/>
      <c r="X14" s="40"/>
      <c r="Y14" s="39"/>
      <c r="Z14" s="38">
        <f t="shared" si="2"/>
        <v>0</v>
      </c>
      <c r="AA14" s="41"/>
      <c r="AB14" s="40"/>
      <c r="AC14" s="40"/>
      <c r="AD14" s="40"/>
      <c r="AE14" s="38">
        <f t="shared" si="3"/>
        <v>0</v>
      </c>
    </row>
    <row r="15" spans="1:31" ht="19.8" x14ac:dyDescent="0.3">
      <c r="A15" s="21">
        <v>10</v>
      </c>
      <c r="B15" s="19" t="str">
        <f>+Inscritos!B13</f>
        <v xml:space="preserve">CARLOS MARIO DÍAZ MORENO </v>
      </c>
      <c r="C15" s="22" t="str">
        <f>+Inscritos!D13</f>
        <v>1063360161</v>
      </c>
      <c r="D15" s="14"/>
      <c r="E15" s="14"/>
      <c r="F15" s="14"/>
      <c r="G15" s="14"/>
      <c r="H15" s="38">
        <f t="shared" si="0"/>
        <v>0</v>
      </c>
      <c r="I15" s="39"/>
      <c r="J15" s="39"/>
      <c r="K15" s="39"/>
      <c r="L15" s="39"/>
      <c r="M15" s="39"/>
      <c r="N15" s="39"/>
      <c r="O15" s="39"/>
      <c r="P15" s="40"/>
      <c r="Q15" s="38">
        <f t="shared" si="1"/>
        <v>0</v>
      </c>
      <c r="R15" s="39"/>
      <c r="S15" s="39"/>
      <c r="T15" s="39"/>
      <c r="U15" s="40"/>
      <c r="V15" s="40"/>
      <c r="W15" s="40"/>
      <c r="X15" s="40"/>
      <c r="Y15" s="39"/>
      <c r="Z15" s="38">
        <f t="shared" si="2"/>
        <v>0</v>
      </c>
      <c r="AA15" s="41"/>
      <c r="AB15" s="40"/>
      <c r="AC15" s="40"/>
      <c r="AD15" s="40"/>
      <c r="AE15" s="38">
        <f t="shared" si="3"/>
        <v>0</v>
      </c>
    </row>
    <row r="16" spans="1:31" ht="19.8" x14ac:dyDescent="0.3">
      <c r="A16" s="21">
        <v>11</v>
      </c>
      <c r="B16" s="19" t="str">
        <f>+Inscritos!B14</f>
        <v xml:space="preserve">DAINER DAVID HUERTA CASSIANI </v>
      </c>
      <c r="C16" s="22" t="str">
        <f>+Inscritos!D14</f>
        <v>1063361959</v>
      </c>
      <c r="D16" s="14"/>
      <c r="E16" s="14"/>
      <c r="F16" s="14"/>
      <c r="G16" s="14"/>
      <c r="H16" s="38">
        <f t="shared" si="0"/>
        <v>0</v>
      </c>
      <c r="I16" s="39"/>
      <c r="J16" s="39"/>
      <c r="K16" s="39"/>
      <c r="L16" s="39"/>
      <c r="M16" s="39"/>
      <c r="N16" s="39"/>
      <c r="O16" s="39"/>
      <c r="P16" s="40"/>
      <c r="Q16" s="38">
        <f t="shared" si="1"/>
        <v>0</v>
      </c>
      <c r="R16" s="39"/>
      <c r="S16" s="39"/>
      <c r="T16" s="39"/>
      <c r="U16" s="40"/>
      <c r="V16" s="40"/>
      <c r="W16" s="40"/>
      <c r="X16" s="40"/>
      <c r="Y16" s="39"/>
      <c r="Z16" s="38">
        <f t="shared" si="2"/>
        <v>0</v>
      </c>
      <c r="AA16" s="41"/>
      <c r="AB16" s="40"/>
      <c r="AC16" s="40"/>
      <c r="AD16" s="40"/>
      <c r="AE16" s="38">
        <f t="shared" si="3"/>
        <v>0</v>
      </c>
    </row>
    <row r="17" spans="1:31" ht="19.8" x14ac:dyDescent="0.3">
      <c r="A17" s="21">
        <v>12</v>
      </c>
      <c r="B17" s="19" t="str">
        <f>+Inscritos!B15</f>
        <v xml:space="preserve">DANIELA ISABEL BONOLIS ROMERO </v>
      </c>
      <c r="C17" s="22" t="str">
        <f>+Inscritos!D15</f>
        <v>1063789798</v>
      </c>
      <c r="D17" s="14"/>
      <c r="E17" s="14"/>
      <c r="F17" s="14"/>
      <c r="G17" s="14"/>
      <c r="H17" s="38">
        <f t="shared" si="0"/>
        <v>0</v>
      </c>
      <c r="I17" s="39"/>
      <c r="J17" s="39"/>
      <c r="K17" s="39"/>
      <c r="L17" s="39"/>
      <c r="M17" s="39"/>
      <c r="N17" s="39"/>
      <c r="O17" s="39"/>
      <c r="P17" s="40"/>
      <c r="Q17" s="38">
        <f t="shared" si="1"/>
        <v>0</v>
      </c>
      <c r="R17" s="39"/>
      <c r="S17" s="39"/>
      <c r="T17" s="39"/>
      <c r="U17" s="40"/>
      <c r="V17" s="40"/>
      <c r="W17" s="40"/>
      <c r="X17" s="40"/>
      <c r="Y17" s="39"/>
      <c r="Z17" s="38">
        <f t="shared" si="2"/>
        <v>0</v>
      </c>
      <c r="AA17" s="41"/>
      <c r="AB17" s="40"/>
      <c r="AC17" s="40"/>
      <c r="AD17" s="40"/>
      <c r="AE17" s="38">
        <f t="shared" si="3"/>
        <v>0</v>
      </c>
    </row>
    <row r="18" spans="1:31" ht="19.8" x14ac:dyDescent="0.3">
      <c r="A18" s="21">
        <v>13</v>
      </c>
      <c r="B18" s="19" t="str">
        <f>+Inscritos!B16</f>
        <v xml:space="preserve">DANIELA LONDOÑO AGUDELO </v>
      </c>
      <c r="C18" s="22" t="str">
        <f>+Inscritos!D16</f>
        <v>1063789677</v>
      </c>
      <c r="D18" s="14"/>
      <c r="E18" s="14"/>
      <c r="F18" s="14"/>
      <c r="G18" s="14"/>
      <c r="H18" s="38">
        <f t="shared" si="0"/>
        <v>0</v>
      </c>
      <c r="I18" s="39"/>
      <c r="J18" s="39"/>
      <c r="K18" s="39"/>
      <c r="L18" s="39"/>
      <c r="M18" s="39"/>
      <c r="N18" s="39"/>
      <c r="O18" s="39"/>
      <c r="P18" s="40"/>
      <c r="Q18" s="38">
        <f t="shared" si="1"/>
        <v>0</v>
      </c>
      <c r="R18" s="39"/>
      <c r="S18" s="39"/>
      <c r="T18" s="39"/>
      <c r="U18" s="40"/>
      <c r="V18" s="40"/>
      <c r="W18" s="40"/>
      <c r="X18" s="40"/>
      <c r="Y18" s="39"/>
      <c r="Z18" s="38">
        <f t="shared" si="2"/>
        <v>0</v>
      </c>
      <c r="AA18" s="41"/>
      <c r="AB18" s="40"/>
      <c r="AC18" s="40"/>
      <c r="AD18" s="40"/>
      <c r="AE18" s="38">
        <f t="shared" si="3"/>
        <v>0</v>
      </c>
    </row>
    <row r="19" spans="1:31" ht="19.8" x14ac:dyDescent="0.3">
      <c r="A19" s="21">
        <v>14</v>
      </c>
      <c r="B19" s="19" t="str">
        <f>+Inscritos!B17</f>
        <v xml:space="preserve">DANIELA MUÑOZ MARTÍNEZ </v>
      </c>
      <c r="C19" s="22" t="str">
        <f>+Inscritos!D17</f>
        <v>1063290961</v>
      </c>
      <c r="D19" s="14"/>
      <c r="E19" s="14"/>
      <c r="F19" s="14"/>
      <c r="G19" s="14"/>
      <c r="H19" s="38">
        <f t="shared" si="0"/>
        <v>0</v>
      </c>
      <c r="I19" s="39"/>
      <c r="J19" s="39"/>
      <c r="K19" s="39"/>
      <c r="L19" s="39"/>
      <c r="M19" s="39"/>
      <c r="N19" s="39"/>
      <c r="O19" s="39"/>
      <c r="P19" s="40"/>
      <c r="Q19" s="38">
        <f t="shared" si="1"/>
        <v>0</v>
      </c>
      <c r="R19" s="39"/>
      <c r="S19" s="39"/>
      <c r="T19" s="39"/>
      <c r="U19" s="40"/>
      <c r="V19" s="40"/>
      <c r="W19" s="40"/>
      <c r="X19" s="40"/>
      <c r="Y19" s="39"/>
      <c r="Z19" s="38">
        <f t="shared" si="2"/>
        <v>0</v>
      </c>
      <c r="AA19" s="41"/>
      <c r="AB19" s="40"/>
      <c r="AC19" s="40"/>
      <c r="AD19" s="40"/>
      <c r="AE19" s="38">
        <f t="shared" si="3"/>
        <v>0</v>
      </c>
    </row>
    <row r="20" spans="1:31" s="20" customFormat="1" ht="19.8" x14ac:dyDescent="0.3">
      <c r="A20" s="21">
        <v>15</v>
      </c>
      <c r="B20" s="19" t="str">
        <f>+Inscritos!B18</f>
        <v xml:space="preserve">DEGUAR MORENO RODRÍGUEZ </v>
      </c>
      <c r="C20" s="22" t="str">
        <f>+Inscritos!D18</f>
        <v>1066605960</v>
      </c>
      <c r="D20" s="14"/>
      <c r="E20" s="14"/>
      <c r="F20" s="14"/>
      <c r="G20" s="14"/>
      <c r="H20" s="38">
        <f t="shared" si="0"/>
        <v>0</v>
      </c>
      <c r="I20" s="39"/>
      <c r="J20" s="39"/>
      <c r="K20" s="39"/>
      <c r="L20" s="39"/>
      <c r="M20" s="39"/>
      <c r="N20" s="39"/>
      <c r="O20" s="39"/>
      <c r="P20" s="40"/>
      <c r="Q20" s="38">
        <f t="shared" si="1"/>
        <v>0</v>
      </c>
      <c r="R20" s="39"/>
      <c r="S20" s="39"/>
      <c r="T20" s="39"/>
      <c r="U20" s="40"/>
      <c r="V20" s="40"/>
      <c r="W20" s="40"/>
      <c r="X20" s="40"/>
      <c r="Y20" s="39"/>
      <c r="Z20" s="38">
        <f t="shared" si="2"/>
        <v>0</v>
      </c>
      <c r="AA20" s="41"/>
      <c r="AB20" s="40"/>
      <c r="AC20" s="40"/>
      <c r="AD20" s="40"/>
      <c r="AE20" s="38">
        <f t="shared" si="3"/>
        <v>0</v>
      </c>
    </row>
    <row r="21" spans="1:31" ht="19.8" x14ac:dyDescent="0.3">
      <c r="A21" s="21">
        <v>16</v>
      </c>
      <c r="B21" s="19" t="str">
        <f>+Inscritos!B19</f>
        <v xml:space="preserve">EDANYS LUZ VIDAL VALENCIA </v>
      </c>
      <c r="C21" s="22" t="str">
        <f>+Inscritos!D19</f>
        <v>1063359282</v>
      </c>
      <c r="D21" s="14"/>
      <c r="E21" s="14"/>
      <c r="F21" s="14"/>
      <c r="G21" s="14"/>
      <c r="H21" s="38">
        <f t="shared" si="0"/>
        <v>0</v>
      </c>
      <c r="I21" s="39"/>
      <c r="J21" s="39"/>
      <c r="K21" s="39"/>
      <c r="L21" s="39"/>
      <c r="M21" s="39"/>
      <c r="N21" s="39"/>
      <c r="O21" s="39"/>
      <c r="P21" s="39"/>
      <c r="Q21" s="38">
        <f t="shared" si="1"/>
        <v>0</v>
      </c>
      <c r="R21" s="39"/>
      <c r="S21" s="39"/>
      <c r="T21" s="39"/>
      <c r="U21" s="40"/>
      <c r="V21" s="40"/>
      <c r="W21" s="40"/>
      <c r="X21" s="40"/>
      <c r="Y21" s="39"/>
      <c r="Z21" s="38">
        <f t="shared" si="2"/>
        <v>0</v>
      </c>
      <c r="AA21" s="41"/>
      <c r="AB21" s="40"/>
      <c r="AC21" s="40"/>
      <c r="AD21" s="40"/>
      <c r="AE21" s="38">
        <f t="shared" si="3"/>
        <v>0</v>
      </c>
    </row>
    <row r="22" spans="1:31" ht="19.8" x14ac:dyDescent="0.3">
      <c r="A22" s="21">
        <v>17</v>
      </c>
      <c r="B22" s="19" t="str">
        <f>+Inscritos!B20</f>
        <v xml:space="preserve">GABRIELA BARRETO HERNÁNDEZ </v>
      </c>
      <c r="C22" s="22" t="str">
        <f>+Inscritos!D20</f>
        <v>1063361586</v>
      </c>
      <c r="D22" s="14"/>
      <c r="E22" s="14"/>
      <c r="F22" s="14"/>
      <c r="G22" s="14"/>
      <c r="H22" s="38">
        <f t="shared" si="0"/>
        <v>0</v>
      </c>
      <c r="I22" s="39"/>
      <c r="J22" s="39"/>
      <c r="K22" s="39"/>
      <c r="L22" s="39"/>
      <c r="M22" s="39"/>
      <c r="N22" s="39"/>
      <c r="O22" s="39"/>
      <c r="P22" s="40"/>
      <c r="Q22" s="38">
        <f t="shared" si="1"/>
        <v>0</v>
      </c>
      <c r="R22" s="39"/>
      <c r="S22" s="39"/>
      <c r="T22" s="39"/>
      <c r="U22" s="40"/>
      <c r="V22" s="40"/>
      <c r="W22" s="40"/>
      <c r="X22" s="40"/>
      <c r="Y22" s="39"/>
      <c r="Z22" s="38">
        <f t="shared" si="2"/>
        <v>0</v>
      </c>
      <c r="AA22" s="41"/>
      <c r="AB22" s="40"/>
      <c r="AC22" s="40"/>
      <c r="AD22" s="40"/>
      <c r="AE22" s="38">
        <f t="shared" si="3"/>
        <v>0</v>
      </c>
    </row>
    <row r="23" spans="1:31" ht="19.8" x14ac:dyDescent="0.3">
      <c r="A23" s="21">
        <v>18</v>
      </c>
      <c r="B23" s="19" t="str">
        <f>+Inscritos!B21</f>
        <v xml:space="preserve">ISABEL CRISTINA PALOMO GARCÉS </v>
      </c>
      <c r="C23" s="22" t="str">
        <f>+Inscritos!D21</f>
        <v xml:space="preserve">1042586863 </v>
      </c>
      <c r="D23" s="14"/>
      <c r="E23" s="14"/>
      <c r="F23" s="14"/>
      <c r="G23" s="14"/>
      <c r="H23" s="38">
        <f t="shared" si="0"/>
        <v>0</v>
      </c>
      <c r="I23" s="39"/>
      <c r="J23" s="39"/>
      <c r="K23" s="39"/>
      <c r="L23" s="39"/>
      <c r="M23" s="39"/>
      <c r="N23" s="39"/>
      <c r="O23" s="39"/>
      <c r="P23" s="40"/>
      <c r="Q23" s="38">
        <f t="shared" si="1"/>
        <v>0</v>
      </c>
      <c r="R23" s="39"/>
      <c r="S23" s="39"/>
      <c r="T23" s="39"/>
      <c r="U23" s="40"/>
      <c r="V23" s="40"/>
      <c r="W23" s="40"/>
      <c r="X23" s="40"/>
      <c r="Y23" s="39"/>
      <c r="Z23" s="38">
        <f t="shared" si="2"/>
        <v>0</v>
      </c>
      <c r="AA23" s="41"/>
      <c r="AB23" s="40"/>
      <c r="AC23" s="40"/>
      <c r="AD23" s="40"/>
      <c r="AE23" s="38">
        <f t="shared" si="3"/>
        <v>0</v>
      </c>
    </row>
    <row r="24" spans="1:31" ht="19.8" x14ac:dyDescent="0.3">
      <c r="A24" s="21">
        <v>19</v>
      </c>
      <c r="B24" s="19" t="str">
        <f>+Inscritos!B22</f>
        <v xml:space="preserve">ISABELLA SOFÍA GALVÁN HERNÁNDEZ </v>
      </c>
      <c r="C24" s="22" t="str">
        <f>+Inscritos!D22</f>
        <v>1063789969</v>
      </c>
      <c r="D24" s="14"/>
      <c r="E24" s="14"/>
      <c r="F24" s="14"/>
      <c r="G24" s="14"/>
      <c r="H24" s="38">
        <f t="shared" si="0"/>
        <v>0</v>
      </c>
      <c r="I24" s="39"/>
      <c r="J24" s="39"/>
      <c r="K24" s="39"/>
      <c r="L24" s="39"/>
      <c r="M24" s="39"/>
      <c r="N24" s="39"/>
      <c r="O24" s="39"/>
      <c r="P24" s="40"/>
      <c r="Q24" s="38">
        <f t="shared" si="1"/>
        <v>0</v>
      </c>
      <c r="R24" s="39"/>
      <c r="S24" s="39"/>
      <c r="T24" s="39"/>
      <c r="U24" s="40"/>
      <c r="V24" s="40"/>
      <c r="W24" s="40"/>
      <c r="X24" s="40"/>
      <c r="Y24" s="39"/>
      <c r="Z24" s="38">
        <f t="shared" si="2"/>
        <v>0</v>
      </c>
      <c r="AA24" s="41"/>
      <c r="AB24" s="40"/>
      <c r="AC24" s="40"/>
      <c r="AD24" s="40"/>
      <c r="AE24" s="38">
        <f t="shared" si="3"/>
        <v>0</v>
      </c>
    </row>
    <row r="25" spans="1:31" s="20" customFormat="1" ht="19.8" x14ac:dyDescent="0.3">
      <c r="A25" s="21">
        <v>20</v>
      </c>
      <c r="B25" s="19" t="str">
        <f>+Inscritos!B23</f>
        <v>ITAMAR ARROYO CARRASCAL</v>
      </c>
      <c r="C25" s="22" t="str">
        <f>+Inscritos!D23</f>
        <v>1066605712</v>
      </c>
      <c r="D25" s="14"/>
      <c r="E25" s="14"/>
      <c r="F25" s="14"/>
      <c r="G25" s="14"/>
      <c r="H25" s="38">
        <f t="shared" si="0"/>
        <v>0</v>
      </c>
      <c r="I25" s="39"/>
      <c r="J25" s="39"/>
      <c r="K25" s="39"/>
      <c r="L25" s="39"/>
      <c r="M25" s="39"/>
      <c r="N25" s="39"/>
      <c r="O25" s="39"/>
      <c r="P25" s="39"/>
      <c r="Q25" s="38">
        <f t="shared" si="1"/>
        <v>0</v>
      </c>
      <c r="R25" s="39"/>
      <c r="S25" s="39"/>
      <c r="T25" s="39"/>
      <c r="U25" s="40"/>
      <c r="V25" s="40"/>
      <c r="W25" s="40"/>
      <c r="X25" s="40"/>
      <c r="Y25" s="39"/>
      <c r="Z25" s="38">
        <f t="shared" si="2"/>
        <v>0</v>
      </c>
      <c r="AA25" s="41"/>
      <c r="AB25" s="40"/>
      <c r="AC25" s="40"/>
      <c r="AD25" s="40"/>
      <c r="AE25" s="38">
        <f t="shared" si="3"/>
        <v>0</v>
      </c>
    </row>
    <row r="26" spans="1:31" ht="19.8" x14ac:dyDescent="0.3">
      <c r="A26" s="21">
        <v>21</v>
      </c>
      <c r="B26" s="19" t="str">
        <f>+Inscritos!B24</f>
        <v xml:space="preserve">JAZMÍN RAMOS HERRERA </v>
      </c>
      <c r="C26" s="22" t="str">
        <f>+Inscritos!D24</f>
        <v>1063360384</v>
      </c>
      <c r="D26" s="14"/>
      <c r="E26" s="14"/>
      <c r="F26" s="14"/>
      <c r="G26" s="14"/>
      <c r="H26" s="38">
        <f t="shared" si="0"/>
        <v>0</v>
      </c>
      <c r="I26" s="39"/>
      <c r="J26" s="39"/>
      <c r="K26" s="39"/>
      <c r="L26" s="39"/>
      <c r="M26" s="39"/>
      <c r="N26" s="39"/>
      <c r="O26" s="39"/>
      <c r="P26" s="40"/>
      <c r="Q26" s="38">
        <f t="shared" si="1"/>
        <v>0</v>
      </c>
      <c r="R26" s="39"/>
      <c r="S26" s="39"/>
      <c r="T26" s="39"/>
      <c r="U26" s="40"/>
      <c r="V26" s="40"/>
      <c r="W26" s="40"/>
      <c r="X26" s="40"/>
      <c r="Y26" s="39"/>
      <c r="Z26" s="38">
        <f t="shared" si="2"/>
        <v>0</v>
      </c>
      <c r="AA26" s="42"/>
      <c r="AB26" s="43"/>
      <c r="AC26" s="43"/>
      <c r="AD26" s="43"/>
      <c r="AE26" s="38">
        <f t="shared" si="3"/>
        <v>0</v>
      </c>
    </row>
    <row r="27" spans="1:31" ht="19.8" x14ac:dyDescent="0.3">
      <c r="A27" s="21">
        <v>22</v>
      </c>
      <c r="B27" s="19" t="str">
        <f>+Inscritos!B25</f>
        <v>JOEL GUZMÁN AGAMES</v>
      </c>
      <c r="C27" s="22" t="str">
        <f>+Inscritos!D25</f>
        <v>1063360359</v>
      </c>
      <c r="D27" s="14"/>
      <c r="E27" s="14"/>
      <c r="F27" s="14"/>
      <c r="G27" s="14"/>
      <c r="H27" s="38">
        <f t="shared" si="0"/>
        <v>0</v>
      </c>
      <c r="I27" s="39"/>
      <c r="J27" s="39"/>
      <c r="K27" s="39"/>
      <c r="L27" s="39"/>
      <c r="M27" s="39"/>
      <c r="N27" s="39"/>
      <c r="O27" s="39"/>
      <c r="P27" s="40"/>
      <c r="Q27" s="38">
        <f t="shared" si="1"/>
        <v>0</v>
      </c>
      <c r="R27" s="39"/>
      <c r="S27" s="39"/>
      <c r="T27" s="39"/>
      <c r="U27" s="40"/>
      <c r="V27" s="40"/>
      <c r="W27" s="40"/>
      <c r="X27" s="40"/>
      <c r="Y27" s="39"/>
      <c r="Z27" s="38">
        <f t="shared" si="2"/>
        <v>0</v>
      </c>
      <c r="AA27" s="41"/>
      <c r="AB27" s="40"/>
      <c r="AC27" s="40"/>
      <c r="AD27" s="40"/>
      <c r="AE27" s="38">
        <f t="shared" si="3"/>
        <v>0</v>
      </c>
    </row>
    <row r="28" spans="1:31" s="20" customFormat="1" ht="19.8" x14ac:dyDescent="0.3">
      <c r="A28" s="21">
        <v>23</v>
      </c>
      <c r="B28" s="19" t="str">
        <f>+Inscritos!B26</f>
        <v>JOSE LUIS VANEGAS CONTRERAS</v>
      </c>
      <c r="C28" s="22" t="str">
        <f>+Inscritos!D26</f>
        <v>1063790058</v>
      </c>
      <c r="D28" s="14"/>
      <c r="E28" s="14"/>
      <c r="F28" s="14"/>
      <c r="G28" s="14"/>
      <c r="H28" s="38">
        <f t="shared" si="0"/>
        <v>0</v>
      </c>
      <c r="I28" s="39"/>
      <c r="J28" s="39"/>
      <c r="K28" s="39"/>
      <c r="L28" s="39"/>
      <c r="M28" s="39"/>
      <c r="N28" s="39"/>
      <c r="O28" s="39"/>
      <c r="P28" s="40"/>
      <c r="Q28" s="38">
        <f t="shared" si="1"/>
        <v>0</v>
      </c>
      <c r="R28" s="39"/>
      <c r="S28" s="39"/>
      <c r="T28" s="39"/>
      <c r="U28" s="40"/>
      <c r="V28" s="40"/>
      <c r="W28" s="40"/>
      <c r="X28" s="40"/>
      <c r="Y28" s="39"/>
      <c r="Z28" s="38">
        <f t="shared" si="2"/>
        <v>0</v>
      </c>
      <c r="AA28" s="41"/>
      <c r="AB28" s="40"/>
      <c r="AC28" s="40"/>
      <c r="AD28" s="40"/>
      <c r="AE28" s="38">
        <f t="shared" si="3"/>
        <v>0</v>
      </c>
    </row>
    <row r="29" spans="1:31" ht="19.8" x14ac:dyDescent="0.3">
      <c r="A29" s="21">
        <v>24</v>
      </c>
      <c r="B29" s="19" t="str">
        <f>+Inscritos!B27</f>
        <v xml:space="preserve">KAREN LORENA PÉREZ SIERRA </v>
      </c>
      <c r="C29" s="22" t="str">
        <f>+Inscritos!D27</f>
        <v>1063359896</v>
      </c>
      <c r="D29" s="14"/>
      <c r="E29" s="14"/>
      <c r="F29" s="14"/>
      <c r="G29" s="14"/>
      <c r="H29" s="38">
        <f t="shared" si="0"/>
        <v>0</v>
      </c>
      <c r="I29" s="39"/>
      <c r="J29" s="39"/>
      <c r="K29" s="39"/>
      <c r="L29" s="39"/>
      <c r="M29" s="39"/>
      <c r="N29" s="39"/>
      <c r="O29" s="39"/>
      <c r="P29" s="40"/>
      <c r="Q29" s="38">
        <f t="shared" si="1"/>
        <v>0</v>
      </c>
      <c r="R29" s="39"/>
      <c r="S29" s="39"/>
      <c r="T29" s="39"/>
      <c r="U29" s="40"/>
      <c r="V29" s="40"/>
      <c r="W29" s="40"/>
      <c r="X29" s="40"/>
      <c r="Y29" s="39"/>
      <c r="Z29" s="38">
        <f t="shared" si="2"/>
        <v>0</v>
      </c>
      <c r="AA29" s="41"/>
      <c r="AB29" s="40"/>
      <c r="AC29" s="40"/>
      <c r="AD29" s="40"/>
      <c r="AE29" s="38">
        <f t="shared" si="3"/>
        <v>0</v>
      </c>
    </row>
    <row r="30" spans="1:31" ht="19.8" x14ac:dyDescent="0.3">
      <c r="A30" s="21">
        <v>25</v>
      </c>
      <c r="B30" s="19" t="str">
        <f>+Inscritos!B28</f>
        <v>KATHERINE GUZMÁN ARIAS</v>
      </c>
      <c r="C30" s="22" t="str">
        <f>+Inscritos!D28</f>
        <v>1063789184</v>
      </c>
      <c r="D30" s="14"/>
      <c r="E30" s="14"/>
      <c r="F30" s="14"/>
      <c r="G30" s="14"/>
      <c r="H30" s="38">
        <f t="shared" si="0"/>
        <v>0</v>
      </c>
      <c r="I30" s="39"/>
      <c r="J30" s="39"/>
      <c r="K30" s="39"/>
      <c r="L30" s="39"/>
      <c r="M30" s="39"/>
      <c r="N30" s="39"/>
      <c r="O30" s="39"/>
      <c r="P30" s="39"/>
      <c r="Q30" s="38">
        <f t="shared" si="1"/>
        <v>0</v>
      </c>
      <c r="R30" s="39"/>
      <c r="S30" s="39"/>
      <c r="T30" s="39"/>
      <c r="U30" s="40"/>
      <c r="V30" s="40"/>
      <c r="W30" s="40"/>
      <c r="X30" s="40"/>
      <c r="Y30" s="39"/>
      <c r="Z30" s="38">
        <f t="shared" si="2"/>
        <v>0</v>
      </c>
      <c r="AA30" s="41"/>
      <c r="AB30" s="40"/>
      <c r="AC30" s="40"/>
      <c r="AD30" s="40"/>
      <c r="AE30" s="38">
        <f t="shared" si="3"/>
        <v>0</v>
      </c>
    </row>
    <row r="31" spans="1:31" ht="19.8" x14ac:dyDescent="0.3">
      <c r="A31" s="21">
        <v>26</v>
      </c>
      <c r="B31" s="19" t="str">
        <f>+Inscritos!B29</f>
        <v xml:space="preserve">LUIS CAMILO LONDOÑO PEÑATE </v>
      </c>
      <c r="C31" s="22" t="str">
        <f>+Inscritos!D29</f>
        <v>1063360671</v>
      </c>
      <c r="D31" s="14"/>
      <c r="E31" s="14"/>
      <c r="F31" s="14"/>
      <c r="G31" s="14"/>
      <c r="H31" s="38">
        <f t="shared" si="0"/>
        <v>0</v>
      </c>
      <c r="I31" s="39"/>
      <c r="J31" s="39"/>
      <c r="K31" s="39"/>
      <c r="L31" s="39"/>
      <c r="M31" s="39"/>
      <c r="N31" s="39"/>
      <c r="O31" s="39"/>
      <c r="P31" s="40"/>
      <c r="Q31" s="38">
        <f t="shared" si="1"/>
        <v>0</v>
      </c>
      <c r="R31" s="39"/>
      <c r="S31" s="39"/>
      <c r="T31" s="39"/>
      <c r="U31" s="40"/>
      <c r="V31" s="40"/>
      <c r="W31" s="40"/>
      <c r="X31" s="40"/>
      <c r="Y31" s="39"/>
      <c r="Z31" s="38">
        <f t="shared" si="2"/>
        <v>0</v>
      </c>
      <c r="AA31" s="41"/>
      <c r="AB31" s="40"/>
      <c r="AC31" s="40"/>
      <c r="AD31" s="40"/>
      <c r="AE31" s="38">
        <f t="shared" si="3"/>
        <v>0</v>
      </c>
    </row>
    <row r="32" spans="1:31" ht="19.8" x14ac:dyDescent="0.3">
      <c r="A32" s="21">
        <v>27</v>
      </c>
      <c r="B32" s="19" t="str">
        <f>+Inscritos!B30</f>
        <v>MATEO CARRIAZO CASTILLO</v>
      </c>
      <c r="C32" s="22" t="str">
        <f>+Inscritos!D30</f>
        <v>1063789240</v>
      </c>
      <c r="D32" s="14"/>
      <c r="E32" s="14"/>
      <c r="F32" s="14"/>
      <c r="G32" s="14"/>
      <c r="H32" s="38">
        <f t="shared" si="0"/>
        <v>0</v>
      </c>
      <c r="I32" s="39"/>
      <c r="J32" s="39"/>
      <c r="K32" s="39"/>
      <c r="L32" s="39"/>
      <c r="M32" s="39"/>
      <c r="N32" s="39"/>
      <c r="O32" s="39"/>
      <c r="P32" s="40"/>
      <c r="Q32" s="38">
        <f t="shared" si="1"/>
        <v>0</v>
      </c>
      <c r="R32" s="39"/>
      <c r="S32" s="39"/>
      <c r="T32" s="39"/>
      <c r="U32" s="40"/>
      <c r="V32" s="40"/>
      <c r="W32" s="40"/>
      <c r="X32" s="40"/>
      <c r="Y32" s="39"/>
      <c r="Z32" s="38">
        <f t="shared" si="2"/>
        <v>0</v>
      </c>
      <c r="AA32" s="41"/>
      <c r="AB32" s="40"/>
      <c r="AC32" s="40"/>
      <c r="AD32" s="40"/>
      <c r="AE32" s="38">
        <f t="shared" si="3"/>
        <v>0</v>
      </c>
    </row>
    <row r="33" spans="1:31" ht="19.8" x14ac:dyDescent="0.3">
      <c r="A33" s="21">
        <v>28</v>
      </c>
      <c r="B33" s="19" t="str">
        <f>+Inscritos!B31</f>
        <v>MATIAS REGINO HERNANDEZ</v>
      </c>
      <c r="C33" s="22" t="str">
        <f>+Inscritos!D31</f>
        <v>1067901390</v>
      </c>
      <c r="D33" s="14"/>
      <c r="E33" s="14"/>
      <c r="F33" s="14"/>
      <c r="G33" s="14"/>
      <c r="H33" s="38">
        <f t="shared" si="0"/>
        <v>0</v>
      </c>
      <c r="I33" s="39"/>
      <c r="J33" s="39"/>
      <c r="K33" s="39"/>
      <c r="L33" s="39"/>
      <c r="M33" s="39"/>
      <c r="N33" s="39"/>
      <c r="O33" s="39"/>
      <c r="P33" s="40"/>
      <c r="Q33" s="38">
        <f t="shared" si="1"/>
        <v>0</v>
      </c>
      <c r="R33" s="39"/>
      <c r="S33" s="39"/>
      <c r="T33" s="39"/>
      <c r="U33" s="40"/>
      <c r="V33" s="40"/>
      <c r="W33" s="40"/>
      <c r="X33" s="40"/>
      <c r="Y33" s="39"/>
      <c r="Z33" s="38">
        <f t="shared" si="2"/>
        <v>0</v>
      </c>
      <c r="AA33" s="41"/>
      <c r="AB33" s="40"/>
      <c r="AC33" s="40"/>
      <c r="AD33" s="40"/>
      <c r="AE33" s="38">
        <f t="shared" si="3"/>
        <v>0</v>
      </c>
    </row>
    <row r="34" spans="1:31" ht="19.8" x14ac:dyDescent="0.3">
      <c r="A34" s="21">
        <v>29</v>
      </c>
      <c r="B34" s="19" t="str">
        <f>+Inscritos!B32</f>
        <v xml:space="preserve">MAYERLIS MARÍA HOLGUÍN VILORIA </v>
      </c>
      <c r="C34" s="22" t="str">
        <f>+Inscritos!D32</f>
        <v>1063789424</v>
      </c>
      <c r="D34" s="14"/>
      <c r="E34" s="14"/>
      <c r="F34" s="14"/>
      <c r="G34" s="14"/>
      <c r="H34" s="38">
        <f t="shared" si="0"/>
        <v>0</v>
      </c>
      <c r="I34" s="39"/>
      <c r="J34" s="39"/>
      <c r="K34" s="39"/>
      <c r="L34" s="39"/>
      <c r="M34" s="39"/>
      <c r="N34" s="39"/>
      <c r="O34" s="39"/>
      <c r="P34" s="40"/>
      <c r="Q34" s="38">
        <f t="shared" si="1"/>
        <v>0</v>
      </c>
      <c r="R34" s="39"/>
      <c r="S34" s="39"/>
      <c r="T34" s="39"/>
      <c r="U34" s="40"/>
      <c r="V34" s="40"/>
      <c r="W34" s="40"/>
      <c r="X34" s="40"/>
      <c r="Y34" s="39"/>
      <c r="Z34" s="38">
        <f t="shared" si="2"/>
        <v>0</v>
      </c>
      <c r="AA34" s="41"/>
      <c r="AB34" s="40"/>
      <c r="AC34" s="40"/>
      <c r="AD34" s="40"/>
      <c r="AE34" s="38">
        <f t="shared" si="3"/>
        <v>0</v>
      </c>
    </row>
    <row r="35" spans="1:31" ht="19.8" x14ac:dyDescent="0.3">
      <c r="A35" s="21">
        <v>30</v>
      </c>
      <c r="B35" s="19" t="str">
        <f>+Inscritos!B33</f>
        <v xml:space="preserve">MAYERLIS ROJAS CARRASCO </v>
      </c>
      <c r="C35" s="22" t="str">
        <f>+Inscritos!D33</f>
        <v>1063789584</v>
      </c>
      <c r="D35" s="14"/>
      <c r="E35" s="14"/>
      <c r="F35" s="14"/>
      <c r="G35" s="14"/>
      <c r="H35" s="38">
        <f t="shared" si="0"/>
        <v>0</v>
      </c>
      <c r="I35" s="39"/>
      <c r="J35" s="39"/>
      <c r="K35" s="39"/>
      <c r="L35" s="39"/>
      <c r="M35" s="39"/>
      <c r="N35" s="39"/>
      <c r="O35" s="39"/>
      <c r="P35" s="40"/>
      <c r="Q35" s="38">
        <f t="shared" si="1"/>
        <v>0</v>
      </c>
      <c r="R35" s="39"/>
      <c r="S35" s="39"/>
      <c r="T35" s="39"/>
      <c r="U35" s="40"/>
      <c r="V35" s="40"/>
      <c r="W35" s="40"/>
      <c r="X35" s="40"/>
      <c r="Y35" s="39"/>
      <c r="Z35" s="38">
        <f t="shared" si="2"/>
        <v>0</v>
      </c>
      <c r="AA35" s="41"/>
      <c r="AB35" s="40"/>
      <c r="AC35" s="40"/>
      <c r="AD35" s="40"/>
      <c r="AE35" s="38">
        <f t="shared" si="3"/>
        <v>0</v>
      </c>
    </row>
    <row r="36" spans="1:31" s="20" customFormat="1" ht="19.8" x14ac:dyDescent="0.3">
      <c r="A36" s="21">
        <v>31</v>
      </c>
      <c r="B36" s="19" t="str">
        <f>+Inscritos!B34</f>
        <v>MAYLEEN GOMEZ</v>
      </c>
      <c r="C36" s="22" t="str">
        <f>+Inscritos!D34</f>
        <v>1063361243</v>
      </c>
      <c r="D36" s="14"/>
      <c r="E36" s="14"/>
      <c r="F36" s="14"/>
      <c r="G36" s="14"/>
      <c r="H36" s="38">
        <f t="shared" si="0"/>
        <v>0</v>
      </c>
      <c r="I36" s="39"/>
      <c r="J36" s="39"/>
      <c r="K36" s="39"/>
      <c r="L36" s="39"/>
      <c r="M36" s="39"/>
      <c r="N36" s="39"/>
      <c r="O36" s="39"/>
      <c r="P36" s="39"/>
      <c r="Q36" s="38">
        <f t="shared" si="1"/>
        <v>0</v>
      </c>
      <c r="R36" s="39"/>
      <c r="S36" s="39"/>
      <c r="T36" s="39"/>
      <c r="U36" s="40"/>
      <c r="V36" s="40"/>
      <c r="W36" s="40"/>
      <c r="X36" s="40"/>
      <c r="Y36" s="39"/>
      <c r="Z36" s="38">
        <f t="shared" si="2"/>
        <v>0</v>
      </c>
      <c r="AA36" s="42"/>
      <c r="AB36" s="43"/>
      <c r="AC36" s="43"/>
      <c r="AD36" s="43"/>
      <c r="AE36" s="38">
        <f t="shared" si="3"/>
        <v>0</v>
      </c>
    </row>
    <row r="37" spans="1:31" ht="19.8" x14ac:dyDescent="0.3">
      <c r="A37" s="21">
        <v>32</v>
      </c>
      <c r="B37" s="19" t="str">
        <f>+Inscritos!B35</f>
        <v xml:space="preserve">MILAGROS TORRES CABEZAS </v>
      </c>
      <c r="C37" s="22" t="str">
        <f>+Inscritos!D35</f>
        <v>1063291725</v>
      </c>
      <c r="D37" s="14"/>
      <c r="E37" s="14"/>
      <c r="F37" s="14"/>
      <c r="G37" s="14"/>
      <c r="H37" s="38">
        <f t="shared" si="0"/>
        <v>0</v>
      </c>
      <c r="I37" s="39"/>
      <c r="J37" s="39"/>
      <c r="K37" s="39"/>
      <c r="L37" s="39"/>
      <c r="M37" s="39"/>
      <c r="N37" s="39"/>
      <c r="O37" s="39"/>
      <c r="P37" s="40"/>
      <c r="Q37" s="38">
        <f t="shared" si="1"/>
        <v>0</v>
      </c>
      <c r="R37" s="39"/>
      <c r="S37" s="39"/>
      <c r="T37" s="39"/>
      <c r="U37" s="40"/>
      <c r="V37" s="40"/>
      <c r="W37" s="40"/>
      <c r="X37" s="40"/>
      <c r="Y37" s="39"/>
      <c r="Z37" s="38">
        <f t="shared" si="2"/>
        <v>0</v>
      </c>
      <c r="AA37" s="41"/>
      <c r="AB37" s="40"/>
      <c r="AC37" s="40"/>
      <c r="AD37" s="40"/>
      <c r="AE37" s="38">
        <f t="shared" si="3"/>
        <v>0</v>
      </c>
    </row>
    <row r="38" spans="1:31" ht="19.8" x14ac:dyDescent="0.3">
      <c r="A38" s="21">
        <v>33</v>
      </c>
      <c r="B38" s="19" t="str">
        <f>+Inscritos!B36</f>
        <v xml:space="preserve">MISHEL ANDREA HERNANDEZ BANQUEZ </v>
      </c>
      <c r="C38" s="22" t="str">
        <f>+Inscritos!D36</f>
        <v>1063291967</v>
      </c>
      <c r="D38" s="14"/>
      <c r="E38" s="14"/>
      <c r="F38" s="14"/>
      <c r="G38" s="14"/>
      <c r="H38" s="38">
        <f t="shared" si="0"/>
        <v>0</v>
      </c>
      <c r="I38" s="39"/>
      <c r="J38" s="39"/>
      <c r="K38" s="39"/>
      <c r="L38" s="39"/>
      <c r="M38" s="39"/>
      <c r="N38" s="39"/>
      <c r="O38" s="39"/>
      <c r="P38" s="40"/>
      <c r="Q38" s="38">
        <f t="shared" si="1"/>
        <v>0</v>
      </c>
      <c r="R38" s="39"/>
      <c r="S38" s="39"/>
      <c r="T38" s="39"/>
      <c r="U38" s="40"/>
      <c r="V38" s="40"/>
      <c r="W38" s="40"/>
      <c r="X38" s="40"/>
      <c r="Y38" s="39"/>
      <c r="Z38" s="38">
        <f t="shared" si="2"/>
        <v>0</v>
      </c>
      <c r="AA38" s="41"/>
      <c r="AB38" s="40"/>
      <c r="AC38" s="40"/>
      <c r="AD38" s="40"/>
      <c r="AE38" s="38">
        <f t="shared" si="3"/>
        <v>0</v>
      </c>
    </row>
    <row r="39" spans="1:31" ht="19.8" x14ac:dyDescent="0.3">
      <c r="A39" s="21">
        <v>34</v>
      </c>
      <c r="B39" s="19" t="str">
        <f>+Inscritos!B37</f>
        <v xml:space="preserve">NIKOLE ALVAREZ DELGADO </v>
      </c>
      <c r="C39" s="22" t="str">
        <f>+Inscritos!D37</f>
        <v>1038115533</v>
      </c>
      <c r="D39" s="14"/>
      <c r="E39" s="14"/>
      <c r="F39" s="14"/>
      <c r="G39" s="14"/>
      <c r="H39" s="38">
        <f t="shared" si="0"/>
        <v>0</v>
      </c>
      <c r="I39" s="39"/>
      <c r="J39" s="39"/>
      <c r="K39" s="39"/>
      <c r="L39" s="39"/>
      <c r="M39" s="39"/>
      <c r="N39" s="39"/>
      <c r="O39" s="39"/>
      <c r="P39" s="40"/>
      <c r="Q39" s="38">
        <f t="shared" si="1"/>
        <v>0</v>
      </c>
      <c r="R39" s="39"/>
      <c r="S39" s="39"/>
      <c r="T39" s="39"/>
      <c r="U39" s="40"/>
      <c r="V39" s="40"/>
      <c r="W39" s="40"/>
      <c r="X39" s="40"/>
      <c r="Y39" s="39"/>
      <c r="Z39" s="38">
        <f t="shared" si="2"/>
        <v>0</v>
      </c>
      <c r="AA39" s="41"/>
      <c r="AB39" s="40"/>
      <c r="AC39" s="40"/>
      <c r="AD39" s="40"/>
      <c r="AE39" s="38">
        <f t="shared" si="3"/>
        <v>0</v>
      </c>
    </row>
    <row r="40" spans="1:31" ht="19.8" x14ac:dyDescent="0.3">
      <c r="A40" s="21">
        <v>35</v>
      </c>
      <c r="B40" s="19" t="str">
        <f>+Inscritos!B38</f>
        <v>OSVALDO JUNIOR PIEDRAHITA GIL</v>
      </c>
      <c r="C40" s="22" t="str">
        <f>+Inscritos!D38</f>
        <v>1063789655</v>
      </c>
      <c r="D40" s="14"/>
      <c r="E40" s="14"/>
      <c r="F40" s="14"/>
      <c r="G40" s="14"/>
      <c r="H40" s="38">
        <f t="shared" si="0"/>
        <v>0</v>
      </c>
      <c r="I40" s="39"/>
      <c r="J40" s="39"/>
      <c r="K40" s="39"/>
      <c r="L40" s="39"/>
      <c r="M40" s="39"/>
      <c r="N40" s="39"/>
      <c r="O40" s="39"/>
      <c r="P40" s="39"/>
      <c r="Q40" s="38">
        <f t="shared" si="1"/>
        <v>0</v>
      </c>
      <c r="R40" s="39"/>
      <c r="S40" s="39"/>
      <c r="T40" s="39"/>
      <c r="U40" s="40"/>
      <c r="V40" s="40"/>
      <c r="W40" s="40"/>
      <c r="X40" s="40"/>
      <c r="Y40" s="39"/>
      <c r="Z40" s="38">
        <f t="shared" si="2"/>
        <v>0</v>
      </c>
      <c r="AA40" s="41"/>
      <c r="AB40" s="40"/>
      <c r="AC40" s="40"/>
      <c r="AD40" s="40"/>
      <c r="AE40" s="38">
        <f t="shared" si="3"/>
        <v>0</v>
      </c>
    </row>
    <row r="41" spans="1:31" ht="19.8" x14ac:dyDescent="0.3">
      <c r="A41" s="21">
        <v>36</v>
      </c>
      <c r="B41" s="19" t="str">
        <f>+Inscritos!B39</f>
        <v xml:space="preserve">PLUTARCO DAVID SAENZ URANGO </v>
      </c>
      <c r="C41" s="22" t="str">
        <f>+Inscritos!D39</f>
        <v>1063358434</v>
      </c>
      <c r="D41" s="14"/>
      <c r="E41" s="14"/>
      <c r="F41" s="14"/>
      <c r="G41" s="14"/>
      <c r="H41" s="38">
        <f t="shared" si="0"/>
        <v>0</v>
      </c>
      <c r="I41" s="39"/>
      <c r="J41" s="39"/>
      <c r="K41" s="39"/>
      <c r="L41" s="39"/>
      <c r="M41" s="39"/>
      <c r="N41" s="39"/>
      <c r="O41" s="39"/>
      <c r="P41" s="39"/>
      <c r="Q41" s="38">
        <f t="shared" si="1"/>
        <v>0</v>
      </c>
      <c r="R41" s="39"/>
      <c r="S41" s="39"/>
      <c r="T41" s="39"/>
      <c r="U41" s="40"/>
      <c r="V41" s="40"/>
      <c r="W41" s="40"/>
      <c r="X41" s="40"/>
      <c r="Y41" s="40"/>
      <c r="Z41" s="38">
        <f t="shared" si="2"/>
        <v>0</v>
      </c>
      <c r="AA41" s="41"/>
      <c r="AB41" s="40"/>
      <c r="AC41" s="40"/>
      <c r="AD41" s="40"/>
      <c r="AE41" s="38">
        <f t="shared" si="3"/>
        <v>0</v>
      </c>
    </row>
    <row r="42" spans="1:31" ht="19.8" x14ac:dyDescent="0.3">
      <c r="A42" s="21">
        <v>37</v>
      </c>
      <c r="B42" s="19" t="str">
        <f>+Inscritos!B40</f>
        <v xml:space="preserve">RAUL ESTEBAN MEJÍA ALDANA </v>
      </c>
      <c r="C42" s="22" t="str">
        <f>+Inscritos!D40</f>
        <v>1063359382</v>
      </c>
      <c r="D42" s="14"/>
      <c r="E42" s="14"/>
      <c r="F42" s="14"/>
      <c r="G42" s="14"/>
      <c r="H42" s="38">
        <f t="shared" si="0"/>
        <v>0</v>
      </c>
      <c r="I42" s="39"/>
      <c r="J42" s="39"/>
      <c r="K42" s="39"/>
      <c r="L42" s="39"/>
      <c r="M42" s="39"/>
      <c r="N42" s="39"/>
      <c r="O42" s="39"/>
      <c r="P42" s="40"/>
      <c r="Q42" s="38">
        <f t="shared" si="1"/>
        <v>0</v>
      </c>
      <c r="R42" s="39"/>
      <c r="S42" s="39"/>
      <c r="T42" s="39"/>
      <c r="U42" s="40"/>
      <c r="V42" s="40"/>
      <c r="W42" s="40"/>
      <c r="X42" s="40"/>
      <c r="Y42" s="40"/>
      <c r="Z42" s="38">
        <f t="shared" si="2"/>
        <v>0</v>
      </c>
      <c r="AA42" s="42"/>
      <c r="AB42" s="43"/>
      <c r="AC42" s="43"/>
      <c r="AD42" s="43"/>
      <c r="AE42" s="38">
        <f t="shared" si="3"/>
        <v>0</v>
      </c>
    </row>
    <row r="43" spans="1:31" ht="19.8" x14ac:dyDescent="0.3">
      <c r="A43" s="21">
        <v>38</v>
      </c>
      <c r="B43" s="19" t="str">
        <f>+Inscritos!B41</f>
        <v xml:space="preserve">SANTIAGO ENRIQUE ROMERO RUIZ </v>
      </c>
      <c r="C43" s="22" t="str">
        <f>+Inscritos!D41</f>
        <v>1032255995</v>
      </c>
      <c r="D43" s="14"/>
      <c r="E43" s="14"/>
      <c r="F43" s="14"/>
      <c r="G43" s="14"/>
      <c r="H43" s="38">
        <f t="shared" si="0"/>
        <v>0</v>
      </c>
      <c r="I43" s="39"/>
      <c r="J43" s="39"/>
      <c r="K43" s="39"/>
      <c r="L43" s="39"/>
      <c r="M43" s="39"/>
      <c r="N43" s="39"/>
      <c r="O43" s="39"/>
      <c r="P43" s="40"/>
      <c r="Q43" s="38">
        <f t="shared" si="1"/>
        <v>0</v>
      </c>
      <c r="R43" s="39"/>
      <c r="S43" s="39"/>
      <c r="T43" s="39"/>
      <c r="U43" s="39"/>
      <c r="V43" s="39"/>
      <c r="W43" s="39"/>
      <c r="X43" s="39"/>
      <c r="Y43" s="39"/>
      <c r="Z43" s="38">
        <f t="shared" si="2"/>
        <v>0</v>
      </c>
      <c r="AA43" s="41"/>
      <c r="AB43" s="40"/>
      <c r="AC43" s="40"/>
      <c r="AD43" s="40"/>
      <c r="AE43" s="38">
        <f t="shared" si="3"/>
        <v>0</v>
      </c>
    </row>
    <row r="44" spans="1:31" ht="19.8" x14ac:dyDescent="0.3">
      <c r="A44" s="21">
        <v>39</v>
      </c>
      <c r="B44" s="19" t="str">
        <f>+Inscritos!B42</f>
        <v xml:space="preserve">SANTIAGO JIMÉNEZ </v>
      </c>
      <c r="C44" s="22" t="str">
        <f>+Inscritos!D42</f>
        <v>1063291484</v>
      </c>
      <c r="D44" s="14"/>
      <c r="E44" s="14"/>
      <c r="F44" s="14"/>
      <c r="G44" s="14"/>
      <c r="H44" s="38">
        <f t="shared" si="0"/>
        <v>0</v>
      </c>
      <c r="I44" s="39"/>
      <c r="J44" s="39"/>
      <c r="K44" s="39"/>
      <c r="L44" s="39"/>
      <c r="M44" s="39"/>
      <c r="N44" s="39"/>
      <c r="O44" s="39"/>
      <c r="P44" s="40"/>
      <c r="Q44" s="38">
        <f t="shared" si="1"/>
        <v>0</v>
      </c>
      <c r="R44" s="39"/>
      <c r="S44" s="39"/>
      <c r="T44" s="39"/>
      <c r="U44" s="39"/>
      <c r="V44" s="39"/>
      <c r="W44" s="39"/>
      <c r="X44" s="39"/>
      <c r="Y44" s="39"/>
      <c r="Z44" s="38">
        <f t="shared" si="2"/>
        <v>0</v>
      </c>
      <c r="AA44" s="41"/>
      <c r="AB44" s="40"/>
      <c r="AC44" s="40"/>
      <c r="AD44" s="40"/>
      <c r="AE44" s="38">
        <f t="shared" si="3"/>
        <v>0</v>
      </c>
    </row>
    <row r="45" spans="1:31" ht="19.8" x14ac:dyDescent="0.3">
      <c r="A45" s="21">
        <v>40</v>
      </c>
      <c r="B45" s="19" t="str">
        <f>+Inscritos!B43</f>
        <v xml:space="preserve">SARAY MARTINEZ HERNÁNDEZ </v>
      </c>
      <c r="C45" s="22" t="str">
        <f>+Inscritos!D43</f>
        <v>1063361204</v>
      </c>
      <c r="D45" s="14"/>
      <c r="E45" s="14"/>
      <c r="F45" s="14"/>
      <c r="G45" s="14"/>
      <c r="H45" s="38">
        <f t="shared" si="0"/>
        <v>0</v>
      </c>
      <c r="I45" s="39"/>
      <c r="J45" s="39"/>
      <c r="K45" s="39"/>
      <c r="L45" s="39"/>
      <c r="M45" s="39"/>
      <c r="N45" s="39"/>
      <c r="O45" s="39"/>
      <c r="P45" s="40"/>
      <c r="Q45" s="38">
        <f t="shared" si="1"/>
        <v>0</v>
      </c>
      <c r="R45" s="39"/>
      <c r="S45" s="39"/>
      <c r="T45" s="39"/>
      <c r="U45" s="39"/>
      <c r="V45" s="39"/>
      <c r="W45" s="39"/>
      <c r="X45" s="39"/>
      <c r="Y45" s="39"/>
      <c r="Z45" s="38">
        <f t="shared" si="2"/>
        <v>0</v>
      </c>
      <c r="AA45" s="41"/>
      <c r="AB45" s="40"/>
      <c r="AC45" s="40"/>
      <c r="AD45" s="40"/>
      <c r="AE45" s="38">
        <f t="shared" si="3"/>
        <v>0</v>
      </c>
    </row>
    <row r="46" spans="1:31" ht="19.8" x14ac:dyDescent="0.3">
      <c r="A46" s="21">
        <v>41</v>
      </c>
      <c r="B46" s="19" t="str">
        <f>+Inscritos!B44</f>
        <v>SARITA TABARES DIAZ</v>
      </c>
      <c r="C46" s="22" t="str">
        <f>+Inscritos!D44</f>
        <v>1063788847</v>
      </c>
      <c r="D46" s="14"/>
      <c r="E46" s="14"/>
      <c r="F46" s="14"/>
      <c r="G46" s="14"/>
      <c r="H46" s="38">
        <f t="shared" si="0"/>
        <v>0</v>
      </c>
      <c r="I46" s="39"/>
      <c r="J46" s="39"/>
      <c r="K46" s="39"/>
      <c r="L46" s="39"/>
      <c r="M46" s="39"/>
      <c r="N46" s="39"/>
      <c r="O46" s="39"/>
      <c r="P46" s="39"/>
      <c r="Q46" s="38">
        <f t="shared" si="1"/>
        <v>0</v>
      </c>
      <c r="R46" s="39"/>
      <c r="S46" s="39"/>
      <c r="T46" s="39"/>
      <c r="U46" s="39"/>
      <c r="V46" s="39"/>
      <c r="W46" s="39"/>
      <c r="X46" s="39"/>
      <c r="Y46" s="39"/>
      <c r="Z46" s="38">
        <f t="shared" si="2"/>
        <v>0</v>
      </c>
      <c r="AA46" s="41"/>
      <c r="AB46" s="40"/>
      <c r="AC46" s="40"/>
      <c r="AD46" s="40"/>
      <c r="AE46" s="38">
        <f t="shared" si="3"/>
        <v>0</v>
      </c>
    </row>
    <row r="47" spans="1:31" ht="19.8" x14ac:dyDescent="0.3">
      <c r="A47" s="21">
        <v>42</v>
      </c>
      <c r="B47" s="19" t="str">
        <f>+Inscritos!B45</f>
        <v xml:space="preserve">SIMÓN APARICIO CARRASCAL </v>
      </c>
      <c r="C47" s="22" t="str">
        <f>+Inscritos!D45</f>
        <v>1063290759</v>
      </c>
      <c r="D47" s="14"/>
      <c r="E47" s="14"/>
      <c r="F47" s="14"/>
      <c r="G47" s="14"/>
      <c r="H47" s="38">
        <f t="shared" si="0"/>
        <v>0</v>
      </c>
      <c r="I47" s="39"/>
      <c r="J47" s="39"/>
      <c r="K47" s="39"/>
      <c r="L47" s="39"/>
      <c r="M47" s="39"/>
      <c r="N47" s="39"/>
      <c r="O47" s="39"/>
      <c r="P47" s="40"/>
      <c r="Q47" s="38">
        <f t="shared" si="1"/>
        <v>0</v>
      </c>
      <c r="R47" s="39"/>
      <c r="S47" s="39"/>
      <c r="T47" s="39"/>
      <c r="U47" s="39"/>
      <c r="V47" s="39"/>
      <c r="W47" s="39"/>
      <c r="X47" s="39"/>
      <c r="Y47" s="39"/>
      <c r="Z47" s="38">
        <f t="shared" si="2"/>
        <v>0</v>
      </c>
      <c r="AA47" s="41"/>
      <c r="AB47" s="40"/>
      <c r="AC47" s="40"/>
      <c r="AD47" s="40"/>
      <c r="AE47" s="38">
        <f t="shared" si="3"/>
        <v>0</v>
      </c>
    </row>
    <row r="48" spans="1:31" ht="19.8" x14ac:dyDescent="0.3">
      <c r="A48" s="21">
        <v>43</v>
      </c>
      <c r="B48" s="19" t="str">
        <f>+Inscritos!B46</f>
        <v xml:space="preserve">TRIANY VALENTINA IBARRA MARTÍNEZ </v>
      </c>
      <c r="C48" s="22" t="str">
        <f>+Inscritos!D46</f>
        <v>1063362241</v>
      </c>
      <c r="D48" s="14"/>
      <c r="E48" s="14"/>
      <c r="F48" s="14"/>
      <c r="G48" s="14"/>
      <c r="H48" s="38">
        <f t="shared" si="0"/>
        <v>0</v>
      </c>
      <c r="I48" s="39"/>
      <c r="J48" s="39"/>
      <c r="K48" s="39"/>
      <c r="L48" s="39"/>
      <c r="M48" s="39"/>
      <c r="N48" s="39"/>
      <c r="O48" s="39"/>
      <c r="P48" s="40"/>
      <c r="Q48" s="38">
        <f t="shared" si="1"/>
        <v>0</v>
      </c>
      <c r="R48" s="39"/>
      <c r="S48" s="39"/>
      <c r="T48" s="39"/>
      <c r="U48" s="39"/>
      <c r="V48" s="39"/>
      <c r="W48" s="39"/>
      <c r="X48" s="39"/>
      <c r="Y48" s="39"/>
      <c r="Z48" s="38">
        <f t="shared" si="2"/>
        <v>0</v>
      </c>
      <c r="AA48" s="41"/>
      <c r="AB48" s="40"/>
      <c r="AC48" s="40"/>
      <c r="AD48" s="40"/>
      <c r="AE48" s="38">
        <f t="shared" si="3"/>
        <v>0</v>
      </c>
    </row>
    <row r="49" spans="1:31" ht="19.8" x14ac:dyDescent="0.3">
      <c r="A49" s="21">
        <v>44</v>
      </c>
      <c r="B49" s="19" t="str">
        <f>+Inscritos!B47</f>
        <v>VALENTINA RIVERA CALDERÓN</v>
      </c>
      <c r="C49" s="22" t="str">
        <f>+Inscritos!D47</f>
        <v>1063361627</v>
      </c>
      <c r="D49" s="14"/>
      <c r="E49" s="14"/>
      <c r="F49" s="14"/>
      <c r="G49" s="14"/>
      <c r="H49" s="38">
        <f t="shared" si="0"/>
        <v>0</v>
      </c>
      <c r="I49" s="39"/>
      <c r="J49" s="39"/>
      <c r="K49" s="39"/>
      <c r="L49" s="39"/>
      <c r="M49" s="39"/>
      <c r="N49" s="39"/>
      <c r="O49" s="39"/>
      <c r="P49" s="40"/>
      <c r="Q49" s="38">
        <f t="shared" si="1"/>
        <v>0</v>
      </c>
      <c r="R49" s="39"/>
      <c r="S49" s="39"/>
      <c r="T49" s="39"/>
      <c r="U49" s="39"/>
      <c r="V49" s="39"/>
      <c r="W49" s="39"/>
      <c r="X49" s="39"/>
      <c r="Y49" s="39"/>
      <c r="Z49" s="38">
        <f t="shared" si="2"/>
        <v>0</v>
      </c>
      <c r="AA49" s="41"/>
      <c r="AB49" s="40"/>
      <c r="AC49" s="40"/>
      <c r="AD49" s="40"/>
      <c r="AE49" s="38">
        <f t="shared" si="3"/>
        <v>0</v>
      </c>
    </row>
    <row r="50" spans="1:31" ht="19.8" x14ac:dyDescent="0.3">
      <c r="A50" s="21">
        <v>45</v>
      </c>
      <c r="B50" s="19" t="str">
        <f>+Inscritos!B48</f>
        <v xml:space="preserve">YERLIS YULIETH AVILEZ ARRIETA </v>
      </c>
      <c r="C50" s="22" t="str">
        <f>+Inscritos!D48</f>
        <v>1063788235</v>
      </c>
      <c r="D50" s="14"/>
      <c r="E50" s="14"/>
      <c r="F50" s="14"/>
      <c r="G50" s="14"/>
      <c r="H50" s="38">
        <f t="shared" si="0"/>
        <v>0</v>
      </c>
      <c r="I50" s="39"/>
      <c r="J50" s="39"/>
      <c r="K50" s="39"/>
      <c r="L50" s="39"/>
      <c r="M50" s="39"/>
      <c r="N50" s="39"/>
      <c r="O50" s="39"/>
      <c r="P50" s="39"/>
      <c r="Q50" s="38">
        <f t="shared" si="1"/>
        <v>0</v>
      </c>
      <c r="R50" s="39"/>
      <c r="S50" s="39"/>
      <c r="T50" s="39"/>
      <c r="U50" s="39"/>
      <c r="V50" s="39"/>
      <c r="W50" s="39"/>
      <c r="X50" s="39"/>
      <c r="Y50" s="39"/>
      <c r="Z50" s="38">
        <f t="shared" si="2"/>
        <v>0</v>
      </c>
      <c r="AA50" s="41"/>
      <c r="AB50" s="40"/>
      <c r="AC50" s="40"/>
      <c r="AD50" s="40"/>
      <c r="AE50" s="38">
        <f t="shared" si="3"/>
        <v>0</v>
      </c>
    </row>
    <row r="51" spans="1:31" ht="27.6" x14ac:dyDescent="0.3">
      <c r="A51" s="21">
        <v>46</v>
      </c>
      <c r="B51" s="19" t="str">
        <f>+Inscritos!B49</f>
        <v xml:space="preserve">YOHEMIS DEL CARMEN VILLADIEGO VILLALVA </v>
      </c>
      <c r="C51" s="22" t="str">
        <f>+Inscritos!D49</f>
        <v>1063361151</v>
      </c>
      <c r="D51" s="14"/>
      <c r="E51" s="14"/>
      <c r="F51" s="14"/>
      <c r="G51" s="14"/>
      <c r="H51" s="38">
        <f t="shared" si="0"/>
        <v>0</v>
      </c>
      <c r="I51" s="39"/>
      <c r="J51" s="39"/>
      <c r="K51" s="39"/>
      <c r="L51" s="39"/>
      <c r="M51" s="39"/>
      <c r="N51" s="39"/>
      <c r="O51" s="39"/>
      <c r="P51" s="40"/>
      <c r="Q51" s="38">
        <f t="shared" si="1"/>
        <v>0</v>
      </c>
      <c r="R51" s="39"/>
      <c r="S51" s="39"/>
      <c r="T51" s="39"/>
      <c r="U51" s="39"/>
      <c r="V51" s="39"/>
      <c r="W51" s="39"/>
      <c r="X51" s="39"/>
      <c r="Y51" s="39"/>
      <c r="Z51" s="38">
        <f t="shared" si="2"/>
        <v>0</v>
      </c>
      <c r="AA51" s="41"/>
      <c r="AB51" s="40"/>
      <c r="AC51" s="40"/>
      <c r="AD51" s="40"/>
      <c r="AE51" s="38">
        <f t="shared" si="3"/>
        <v>0</v>
      </c>
    </row>
    <row r="52" spans="1:31" ht="19.8" x14ac:dyDescent="0.3">
      <c r="A52" s="21">
        <v>47</v>
      </c>
      <c r="B52" s="19" t="str">
        <f>+Inscritos!B50</f>
        <v xml:space="preserve">YULEIDYS MARÍA DÍAZ PASTRANA </v>
      </c>
      <c r="C52" s="22" t="str">
        <f>+Inscritos!D50</f>
        <v>1063361698</v>
      </c>
      <c r="D52" s="14"/>
      <c r="E52" s="14"/>
      <c r="F52" s="14"/>
      <c r="G52" s="14"/>
      <c r="H52" s="38">
        <f t="shared" si="0"/>
        <v>0</v>
      </c>
      <c r="I52" s="39"/>
      <c r="J52" s="39"/>
      <c r="K52" s="39"/>
      <c r="L52" s="39"/>
      <c r="M52" s="39"/>
      <c r="N52" s="39"/>
      <c r="O52" s="39"/>
      <c r="P52" s="40"/>
      <c r="Q52" s="38">
        <f t="shared" si="1"/>
        <v>0</v>
      </c>
      <c r="R52" s="39"/>
      <c r="S52" s="39"/>
      <c r="T52" s="39"/>
      <c r="U52" s="39"/>
      <c r="V52" s="39"/>
      <c r="W52" s="39"/>
      <c r="X52" s="39"/>
      <c r="Y52" s="39"/>
      <c r="Z52" s="38">
        <f t="shared" si="2"/>
        <v>0</v>
      </c>
      <c r="AA52" s="41"/>
      <c r="AB52" s="40"/>
      <c r="AC52" s="40"/>
      <c r="AD52" s="40"/>
      <c r="AE52" s="38">
        <f t="shared" si="3"/>
        <v>0</v>
      </c>
    </row>
    <row r="53" spans="1:31" ht="19.8" x14ac:dyDescent="0.3">
      <c r="A53" s="21">
        <v>48</v>
      </c>
      <c r="B53" s="19" t="str">
        <f>+Inscritos!B51</f>
        <v xml:space="preserve">YURANIS MILETH ARROYO COAVA </v>
      </c>
      <c r="C53" s="22" t="str">
        <f>+Inscritos!D51</f>
        <v>1063789809</v>
      </c>
      <c r="D53" s="14"/>
      <c r="E53" s="14"/>
      <c r="F53" s="14"/>
      <c r="G53" s="14"/>
      <c r="H53" s="38">
        <f t="shared" si="0"/>
        <v>0</v>
      </c>
      <c r="I53" s="39"/>
      <c r="J53" s="39"/>
      <c r="K53" s="39"/>
      <c r="L53" s="39"/>
      <c r="M53" s="39"/>
      <c r="N53" s="39"/>
      <c r="O53" s="39"/>
      <c r="P53" s="40"/>
      <c r="Q53" s="38">
        <f t="shared" si="1"/>
        <v>0</v>
      </c>
      <c r="R53" s="39"/>
      <c r="S53" s="39"/>
      <c r="T53" s="39"/>
      <c r="U53" s="39"/>
      <c r="V53" s="39"/>
      <c r="W53" s="39"/>
      <c r="X53" s="39"/>
      <c r="Y53" s="39"/>
      <c r="Z53" s="38">
        <f t="shared" si="2"/>
        <v>0</v>
      </c>
      <c r="AA53" s="40"/>
      <c r="AB53" s="40"/>
      <c r="AC53" s="40"/>
      <c r="AD53" s="40"/>
      <c r="AE53" s="38">
        <f t="shared" si="3"/>
        <v>0</v>
      </c>
    </row>
    <row r="54" spans="1:31" ht="19.8" x14ac:dyDescent="0.3">
      <c r="A54" s="21">
        <v>49</v>
      </c>
      <c r="B54" s="19" t="str">
        <f>+Inscritos!B52</f>
        <v>ZAIRO MANCHEGO RIOS</v>
      </c>
      <c r="C54" s="22" t="str">
        <f>+Inscritos!D52</f>
        <v>1063789290</v>
      </c>
      <c r="D54" s="14"/>
      <c r="E54" s="14"/>
      <c r="F54" s="14"/>
      <c r="G54" s="14"/>
      <c r="H54" s="38">
        <f t="shared" si="0"/>
        <v>0</v>
      </c>
      <c r="I54" s="39"/>
      <c r="J54" s="39"/>
      <c r="K54" s="39"/>
      <c r="L54" s="39"/>
      <c r="M54" s="39"/>
      <c r="N54" s="39"/>
      <c r="O54" s="39"/>
      <c r="P54" s="40"/>
      <c r="Q54" s="38">
        <f t="shared" si="1"/>
        <v>0</v>
      </c>
      <c r="R54" s="39"/>
      <c r="S54" s="39"/>
      <c r="T54" s="39"/>
      <c r="U54" s="39"/>
      <c r="V54" s="39"/>
      <c r="W54" s="39"/>
      <c r="X54" s="39"/>
      <c r="Y54" s="39"/>
      <c r="Z54" s="38">
        <f t="shared" si="2"/>
        <v>0</v>
      </c>
      <c r="AA54" s="40"/>
      <c r="AB54" s="40"/>
      <c r="AC54" s="40"/>
      <c r="AD54" s="40"/>
      <c r="AE54" s="38">
        <f t="shared" si="3"/>
        <v>0</v>
      </c>
    </row>
    <row r="55" spans="1:31" ht="19.8" x14ac:dyDescent="0.3">
      <c r="A55" s="21">
        <v>50</v>
      </c>
      <c r="B55" s="19">
        <f>+Inscritos!B53</f>
        <v>0</v>
      </c>
      <c r="C55" s="22">
        <f>+Inscritos!D53</f>
        <v>0</v>
      </c>
      <c r="D55" s="14"/>
      <c r="E55" s="14"/>
      <c r="F55" s="14"/>
      <c r="G55" s="14"/>
      <c r="H55" s="38">
        <f t="shared" ref="H55:H64" si="4">+SUM(D55:G55)/4</f>
        <v>0</v>
      </c>
      <c r="I55" s="39"/>
      <c r="J55" s="39"/>
      <c r="K55" s="39"/>
      <c r="L55" s="39"/>
      <c r="M55" s="39"/>
      <c r="N55" s="39"/>
      <c r="O55" s="39"/>
      <c r="P55" s="39"/>
      <c r="Q55" s="38">
        <f t="shared" ref="Q55:Q64" si="5">+SUM(I55:P55)/8</f>
        <v>0</v>
      </c>
      <c r="R55" s="39"/>
      <c r="S55" s="39"/>
      <c r="T55" s="39"/>
      <c r="U55" s="39"/>
      <c r="V55" s="39"/>
      <c r="W55" s="39"/>
      <c r="X55" s="39"/>
      <c r="Y55" s="39"/>
      <c r="Z55" s="38">
        <f t="shared" ref="Z55:Z64" si="6">+SUM(R55:Y55)/8</f>
        <v>0</v>
      </c>
      <c r="AA55" s="41"/>
      <c r="AB55" s="40"/>
      <c r="AC55" s="40"/>
      <c r="AD55" s="40"/>
      <c r="AE55" s="38">
        <f t="shared" ref="AE55:AE64" si="7">+SUM(AA55:AD55)/4</f>
        <v>0</v>
      </c>
    </row>
    <row r="56" spans="1:31" ht="19.8" x14ac:dyDescent="0.3">
      <c r="A56" s="21">
        <v>51</v>
      </c>
      <c r="B56" s="19">
        <f>+Inscritos!B53</f>
        <v>0</v>
      </c>
      <c r="C56" s="22">
        <f>+Inscritos!D53</f>
        <v>0</v>
      </c>
      <c r="D56" s="14"/>
      <c r="E56" s="14"/>
      <c r="F56" s="14"/>
      <c r="G56" s="14"/>
      <c r="H56" s="38">
        <f t="shared" si="4"/>
        <v>0</v>
      </c>
      <c r="I56" s="39"/>
      <c r="J56" s="39"/>
      <c r="K56" s="39"/>
      <c r="L56" s="39"/>
      <c r="M56" s="39"/>
      <c r="N56" s="39"/>
      <c r="O56" s="39"/>
      <c r="P56" s="40"/>
      <c r="Q56" s="38">
        <f t="shared" si="5"/>
        <v>0</v>
      </c>
      <c r="R56" s="39"/>
      <c r="S56" s="39"/>
      <c r="T56" s="39"/>
      <c r="U56" s="39"/>
      <c r="V56" s="39"/>
      <c r="W56" s="39"/>
      <c r="X56" s="39"/>
      <c r="Y56" s="39"/>
      <c r="Z56" s="38">
        <f t="shared" si="6"/>
        <v>0</v>
      </c>
      <c r="AA56" s="41"/>
      <c r="AB56" s="40"/>
      <c r="AC56" s="40"/>
      <c r="AD56" s="40"/>
      <c r="AE56" s="38">
        <f t="shared" si="7"/>
        <v>0</v>
      </c>
    </row>
    <row r="57" spans="1:31" ht="19.8" x14ac:dyDescent="0.3">
      <c r="A57" s="21">
        <v>52</v>
      </c>
      <c r="B57" s="19">
        <f>+Inscritos!B54</f>
        <v>0</v>
      </c>
      <c r="C57" s="22">
        <f>+Inscritos!D54</f>
        <v>0</v>
      </c>
      <c r="D57" s="14"/>
      <c r="E57" s="14"/>
      <c r="F57" s="14"/>
      <c r="G57" s="14"/>
      <c r="H57" s="38">
        <f t="shared" si="4"/>
        <v>0</v>
      </c>
      <c r="I57" s="39"/>
      <c r="J57" s="39"/>
      <c r="K57" s="39"/>
      <c r="L57" s="39"/>
      <c r="M57" s="39"/>
      <c r="N57" s="39"/>
      <c r="O57" s="39"/>
      <c r="P57" s="40"/>
      <c r="Q57" s="38">
        <f t="shared" si="5"/>
        <v>0</v>
      </c>
      <c r="R57" s="39"/>
      <c r="S57" s="39"/>
      <c r="T57" s="39"/>
      <c r="U57" s="39"/>
      <c r="V57" s="39"/>
      <c r="W57" s="39"/>
      <c r="X57" s="39"/>
      <c r="Y57" s="39"/>
      <c r="Z57" s="38">
        <f t="shared" si="6"/>
        <v>0</v>
      </c>
      <c r="AA57" s="41"/>
      <c r="AB57" s="40"/>
      <c r="AC57" s="40"/>
      <c r="AD57" s="40"/>
      <c r="AE57" s="38">
        <f t="shared" si="7"/>
        <v>0</v>
      </c>
    </row>
    <row r="58" spans="1:31" ht="19.8" x14ac:dyDescent="0.3">
      <c r="A58" s="21">
        <v>53</v>
      </c>
      <c r="B58" s="19">
        <f>+Inscritos!B55</f>
        <v>0</v>
      </c>
      <c r="C58" s="22">
        <f>+Inscritos!D55</f>
        <v>0</v>
      </c>
      <c r="D58" s="14"/>
      <c r="E58" s="14"/>
      <c r="F58" s="14"/>
      <c r="G58" s="14"/>
      <c r="H58" s="38">
        <f t="shared" si="4"/>
        <v>0</v>
      </c>
      <c r="I58" s="39"/>
      <c r="J58" s="39"/>
      <c r="K58" s="39"/>
      <c r="L58" s="39"/>
      <c r="M58" s="39"/>
      <c r="N58" s="39"/>
      <c r="O58" s="39"/>
      <c r="P58" s="40"/>
      <c r="Q58" s="38">
        <f t="shared" si="5"/>
        <v>0</v>
      </c>
      <c r="R58" s="39"/>
      <c r="S58" s="39"/>
      <c r="T58" s="39"/>
      <c r="U58" s="39"/>
      <c r="V58" s="39"/>
      <c r="W58" s="39"/>
      <c r="X58" s="39"/>
      <c r="Y58" s="39"/>
      <c r="Z58" s="38">
        <f t="shared" si="6"/>
        <v>0</v>
      </c>
      <c r="AA58" s="40"/>
      <c r="AB58" s="40"/>
      <c r="AC58" s="40"/>
      <c r="AD58" s="40"/>
      <c r="AE58" s="38">
        <f t="shared" si="7"/>
        <v>0</v>
      </c>
    </row>
    <row r="59" spans="1:31" ht="19.8" x14ac:dyDescent="0.3">
      <c r="A59" s="21">
        <v>54</v>
      </c>
      <c r="B59" s="19">
        <f>+Inscritos!B56</f>
        <v>0</v>
      </c>
      <c r="C59" s="22">
        <f>+Inscritos!D56</f>
        <v>0</v>
      </c>
      <c r="D59" s="14"/>
      <c r="E59" s="14"/>
      <c r="F59" s="14"/>
      <c r="G59" s="14"/>
      <c r="H59" s="38">
        <f t="shared" si="4"/>
        <v>0</v>
      </c>
      <c r="I59" s="39"/>
      <c r="J59" s="39"/>
      <c r="K59" s="39"/>
      <c r="L59" s="39"/>
      <c r="M59" s="39"/>
      <c r="N59" s="39"/>
      <c r="O59" s="39"/>
      <c r="P59" s="40"/>
      <c r="Q59" s="38">
        <f t="shared" si="5"/>
        <v>0</v>
      </c>
      <c r="R59" s="39"/>
      <c r="S59" s="39"/>
      <c r="T59" s="39"/>
      <c r="U59" s="39"/>
      <c r="V59" s="39"/>
      <c r="W59" s="39"/>
      <c r="X59" s="39"/>
      <c r="Y59" s="39"/>
      <c r="Z59" s="38">
        <f t="shared" si="6"/>
        <v>0</v>
      </c>
      <c r="AA59" s="40"/>
      <c r="AB59" s="40"/>
      <c r="AC59" s="40"/>
      <c r="AD59" s="40"/>
      <c r="AE59" s="38">
        <f t="shared" si="7"/>
        <v>0</v>
      </c>
    </row>
    <row r="60" spans="1:31" ht="19.8" x14ac:dyDescent="0.3">
      <c r="A60" s="21">
        <v>55</v>
      </c>
      <c r="B60" s="19">
        <f>+Inscritos!B57</f>
        <v>0</v>
      </c>
      <c r="C60" s="22">
        <f>+Inscritos!D57</f>
        <v>0</v>
      </c>
      <c r="D60" s="14"/>
      <c r="E60" s="14"/>
      <c r="F60" s="14"/>
      <c r="G60" s="14"/>
      <c r="H60" s="38">
        <f t="shared" si="4"/>
        <v>0</v>
      </c>
      <c r="I60" s="39"/>
      <c r="J60" s="39"/>
      <c r="K60" s="39"/>
      <c r="L60" s="39"/>
      <c r="M60" s="39"/>
      <c r="N60" s="39"/>
      <c r="O60" s="39"/>
      <c r="P60" s="39"/>
      <c r="Q60" s="38">
        <f t="shared" si="5"/>
        <v>0</v>
      </c>
      <c r="R60" s="39"/>
      <c r="S60" s="39"/>
      <c r="T60" s="39"/>
      <c r="U60" s="39"/>
      <c r="V60" s="39"/>
      <c r="W60" s="39"/>
      <c r="X60" s="39"/>
      <c r="Y60" s="39"/>
      <c r="Z60" s="38">
        <f t="shared" si="6"/>
        <v>0</v>
      </c>
      <c r="AA60" s="41"/>
      <c r="AB60" s="40"/>
      <c r="AC60" s="40"/>
      <c r="AD60" s="40"/>
      <c r="AE60" s="38">
        <f t="shared" si="7"/>
        <v>0</v>
      </c>
    </row>
    <row r="61" spans="1:31" ht="19.8" x14ac:dyDescent="0.3">
      <c r="A61" s="21">
        <v>56</v>
      </c>
      <c r="B61" s="19">
        <f>+Inscritos!B58</f>
        <v>0</v>
      </c>
      <c r="C61" s="22">
        <f>+Inscritos!D58</f>
        <v>0</v>
      </c>
      <c r="D61" s="14"/>
      <c r="E61" s="14"/>
      <c r="F61" s="14"/>
      <c r="G61" s="14"/>
      <c r="H61" s="38">
        <f t="shared" si="4"/>
        <v>0</v>
      </c>
      <c r="I61" s="39"/>
      <c r="J61" s="39"/>
      <c r="K61" s="39"/>
      <c r="L61" s="39"/>
      <c r="M61" s="39"/>
      <c r="N61" s="39"/>
      <c r="O61" s="39"/>
      <c r="P61" s="40"/>
      <c r="Q61" s="38">
        <f t="shared" si="5"/>
        <v>0</v>
      </c>
      <c r="R61" s="39"/>
      <c r="S61" s="39"/>
      <c r="T61" s="39"/>
      <c r="U61" s="39"/>
      <c r="V61" s="39"/>
      <c r="W61" s="39"/>
      <c r="X61" s="39"/>
      <c r="Y61" s="39"/>
      <c r="Z61" s="38">
        <f t="shared" si="6"/>
        <v>0</v>
      </c>
      <c r="AA61" s="41"/>
      <c r="AB61" s="40"/>
      <c r="AC61" s="40"/>
      <c r="AD61" s="40"/>
      <c r="AE61" s="38">
        <f t="shared" si="7"/>
        <v>0</v>
      </c>
    </row>
    <row r="62" spans="1:31" ht="19.8" x14ac:dyDescent="0.3">
      <c r="A62" s="21">
        <v>57</v>
      </c>
      <c r="B62" s="19">
        <f>+Inscritos!B59</f>
        <v>0</v>
      </c>
      <c r="C62" s="22">
        <f>+Inscritos!D59</f>
        <v>0</v>
      </c>
      <c r="D62" s="14"/>
      <c r="E62" s="14"/>
      <c r="F62" s="14"/>
      <c r="G62" s="14"/>
      <c r="H62" s="38">
        <f t="shared" si="4"/>
        <v>0</v>
      </c>
      <c r="I62" s="39"/>
      <c r="J62" s="39"/>
      <c r="K62" s="39"/>
      <c r="L62" s="39"/>
      <c r="M62" s="39"/>
      <c r="N62" s="39"/>
      <c r="O62" s="39"/>
      <c r="P62" s="40"/>
      <c r="Q62" s="38">
        <f t="shared" si="5"/>
        <v>0</v>
      </c>
      <c r="R62" s="39"/>
      <c r="S62" s="39"/>
      <c r="T62" s="39"/>
      <c r="U62" s="39"/>
      <c r="V62" s="39"/>
      <c r="W62" s="39"/>
      <c r="X62" s="39"/>
      <c r="Y62" s="39"/>
      <c r="Z62" s="38">
        <f t="shared" si="6"/>
        <v>0</v>
      </c>
      <c r="AA62" s="41"/>
      <c r="AB62" s="40"/>
      <c r="AC62" s="40"/>
      <c r="AD62" s="40"/>
      <c r="AE62" s="38">
        <f t="shared" si="7"/>
        <v>0</v>
      </c>
    </row>
    <row r="63" spans="1:31" ht="19.8" x14ac:dyDescent="0.3">
      <c r="A63" s="21">
        <v>58</v>
      </c>
      <c r="B63" s="19">
        <f>+Inscritos!B60</f>
        <v>0</v>
      </c>
      <c r="C63" s="22">
        <f>+Inscritos!D60</f>
        <v>0</v>
      </c>
      <c r="D63" s="14"/>
      <c r="E63" s="14"/>
      <c r="F63" s="14"/>
      <c r="G63" s="14"/>
      <c r="H63" s="38">
        <f t="shared" si="4"/>
        <v>0</v>
      </c>
      <c r="I63" s="39"/>
      <c r="J63" s="39"/>
      <c r="K63" s="39"/>
      <c r="L63" s="39"/>
      <c r="M63" s="39"/>
      <c r="N63" s="39"/>
      <c r="O63" s="39"/>
      <c r="P63" s="40"/>
      <c r="Q63" s="38">
        <f t="shared" si="5"/>
        <v>0</v>
      </c>
      <c r="R63" s="39"/>
      <c r="S63" s="39"/>
      <c r="T63" s="39"/>
      <c r="U63" s="39"/>
      <c r="V63" s="39"/>
      <c r="W63" s="39"/>
      <c r="X63" s="39"/>
      <c r="Y63" s="39"/>
      <c r="Z63" s="38">
        <f t="shared" si="6"/>
        <v>0</v>
      </c>
      <c r="AA63" s="40"/>
      <c r="AB63" s="40"/>
      <c r="AC63" s="40"/>
      <c r="AD63" s="40"/>
      <c r="AE63" s="38">
        <f t="shared" si="7"/>
        <v>0</v>
      </c>
    </row>
    <row r="64" spans="1:31" ht="19.8" x14ac:dyDescent="0.3">
      <c r="A64" s="21">
        <v>59</v>
      </c>
      <c r="B64" s="19">
        <f>+Inscritos!B61</f>
        <v>0</v>
      </c>
      <c r="C64" s="22">
        <f>+Inscritos!D61</f>
        <v>0</v>
      </c>
      <c r="D64" s="14"/>
      <c r="E64" s="14"/>
      <c r="F64" s="14"/>
      <c r="G64" s="14"/>
      <c r="H64" s="38">
        <f t="shared" si="4"/>
        <v>0</v>
      </c>
      <c r="I64" s="39"/>
      <c r="J64" s="39"/>
      <c r="K64" s="39"/>
      <c r="L64" s="39"/>
      <c r="M64" s="39"/>
      <c r="N64" s="39"/>
      <c r="O64" s="39"/>
      <c r="P64" s="40"/>
      <c r="Q64" s="38">
        <f t="shared" si="5"/>
        <v>0</v>
      </c>
      <c r="R64" s="39"/>
      <c r="S64" s="39"/>
      <c r="T64" s="39"/>
      <c r="U64" s="39"/>
      <c r="V64" s="39"/>
      <c r="W64" s="39"/>
      <c r="X64" s="39"/>
      <c r="Y64" s="39"/>
      <c r="Z64" s="38">
        <f t="shared" si="6"/>
        <v>0</v>
      </c>
      <c r="AA64" s="40"/>
      <c r="AB64" s="40"/>
      <c r="AC64" s="40"/>
      <c r="AD64" s="40"/>
      <c r="AE64" s="38">
        <f t="shared" si="7"/>
        <v>0</v>
      </c>
    </row>
  </sheetData>
  <mergeCells count="16">
    <mergeCell ref="AA2:AE2"/>
    <mergeCell ref="AA3:AE3"/>
    <mergeCell ref="AA4:AD4"/>
    <mergeCell ref="B1:AE1"/>
    <mergeCell ref="A2:A5"/>
    <mergeCell ref="I2:Q2"/>
    <mergeCell ref="I3:Q3"/>
    <mergeCell ref="I4:P4"/>
    <mergeCell ref="R2:Z2"/>
    <mergeCell ref="R3:Z3"/>
    <mergeCell ref="R4:Y4"/>
    <mergeCell ref="D2:H2"/>
    <mergeCell ref="D3:H3"/>
    <mergeCell ref="D4:G4"/>
    <mergeCell ref="C2:C5"/>
    <mergeCell ref="B2:B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4"/>
  <sheetViews>
    <sheetView topLeftCell="A45" zoomScale="85" zoomScaleNormal="85" workbookViewId="0">
      <selection activeCell="B57" sqref="B57"/>
    </sheetView>
  </sheetViews>
  <sheetFormatPr baseColWidth="10" defaultRowHeight="14.4" x14ac:dyDescent="0.3"/>
  <cols>
    <col min="1" max="1" width="11.44140625" customWidth="1"/>
    <col min="2" max="2" width="34.5546875" customWidth="1"/>
    <col min="3" max="3" width="16.6640625" bestFit="1" customWidth="1"/>
    <col min="4" max="4" width="9.44140625" customWidth="1"/>
    <col min="5" max="5" width="8.5546875" customWidth="1"/>
    <col min="6" max="6" width="8.33203125" style="2" customWidth="1"/>
    <col min="7" max="7" width="7.33203125" customWidth="1"/>
    <col min="8" max="8" width="8.109375" customWidth="1"/>
    <col min="9" max="9" width="6" customWidth="1"/>
    <col min="10" max="10" width="5.6640625" customWidth="1"/>
    <col min="11" max="11" width="8.5546875" style="2" customWidth="1"/>
    <col min="12" max="15" width="6.6640625" customWidth="1"/>
    <col min="16" max="16" width="8.33203125" style="2" customWidth="1"/>
    <col min="17" max="19" width="7.6640625" customWidth="1"/>
    <col min="20" max="20" width="7.6640625" style="2" customWidth="1"/>
  </cols>
  <sheetData>
    <row r="1" spans="1:20" ht="72.75" customHeight="1" thickBot="1" x14ac:dyDescent="0.35">
      <c r="B1" s="118" t="s">
        <v>20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</row>
    <row r="2" spans="1:20" ht="20.100000000000001" customHeight="1" x14ac:dyDescent="0.4">
      <c r="A2" s="104" t="s">
        <v>13</v>
      </c>
      <c r="B2" s="90" t="s">
        <v>22</v>
      </c>
      <c r="C2" s="66" t="s">
        <v>3</v>
      </c>
      <c r="D2" s="92" t="str">
        <f>Asistencia!D2</f>
        <v>NOMBRE DOCENTE</v>
      </c>
      <c r="E2" s="93"/>
      <c r="F2" s="94"/>
      <c r="G2" s="92" t="str">
        <f>Asistencia!I2</f>
        <v>NOMBRE DOCENTE</v>
      </c>
      <c r="H2" s="93"/>
      <c r="I2" s="93"/>
      <c r="J2" s="93"/>
      <c r="K2" s="94"/>
      <c r="L2" s="92" t="s">
        <v>21</v>
      </c>
      <c r="M2" s="93"/>
      <c r="N2" s="93"/>
      <c r="O2" s="93"/>
      <c r="P2" s="94"/>
      <c r="Q2" s="92" t="str">
        <f>Asistencia!AA2</f>
        <v>NOMBRE DOCENTE</v>
      </c>
      <c r="R2" s="93"/>
      <c r="S2" s="93"/>
      <c r="T2" s="94"/>
    </row>
    <row r="3" spans="1:20" ht="15" customHeight="1" x14ac:dyDescent="0.3">
      <c r="A3" s="105"/>
      <c r="B3" s="91"/>
      <c r="C3" s="67"/>
      <c r="D3" s="112" t="s">
        <v>7</v>
      </c>
      <c r="E3" s="113"/>
      <c r="F3" s="114"/>
      <c r="G3" s="106" t="s">
        <v>2</v>
      </c>
      <c r="H3" s="107"/>
      <c r="I3" s="107"/>
      <c r="J3" s="107"/>
      <c r="K3" s="108"/>
      <c r="L3" s="137" t="s">
        <v>1</v>
      </c>
      <c r="M3" s="138"/>
      <c r="N3" s="138"/>
      <c r="O3" s="138"/>
      <c r="P3" s="139"/>
      <c r="Q3" s="95" t="s">
        <v>0</v>
      </c>
      <c r="R3" s="96"/>
      <c r="S3" s="96"/>
      <c r="T3" s="97"/>
    </row>
    <row r="4" spans="1:20" ht="15" customHeight="1" x14ac:dyDescent="0.3">
      <c r="A4" s="105"/>
      <c r="B4" s="91"/>
      <c r="C4" s="67"/>
      <c r="D4" s="115"/>
      <c r="E4" s="116"/>
      <c r="F4" s="117"/>
      <c r="G4" s="109"/>
      <c r="H4" s="110"/>
      <c r="I4" s="110"/>
      <c r="J4" s="110"/>
      <c r="K4" s="111"/>
      <c r="L4" s="140"/>
      <c r="M4" s="141"/>
      <c r="N4" s="141"/>
      <c r="O4" s="141"/>
      <c r="P4" s="142"/>
      <c r="Q4" s="98"/>
      <c r="R4" s="99"/>
      <c r="S4" s="99"/>
      <c r="T4" s="100"/>
    </row>
    <row r="5" spans="1:20" ht="15.75" customHeight="1" x14ac:dyDescent="0.3">
      <c r="A5" s="105"/>
      <c r="B5" s="91"/>
      <c r="C5" s="67"/>
      <c r="D5" s="23">
        <v>0.75</v>
      </c>
      <c r="E5" s="23">
        <v>0.25</v>
      </c>
      <c r="F5" s="24" t="s">
        <v>6</v>
      </c>
      <c r="G5" s="27">
        <v>0.15</v>
      </c>
      <c r="H5" s="27">
        <v>0.25</v>
      </c>
      <c r="I5" s="27">
        <v>0.35</v>
      </c>
      <c r="J5" s="27">
        <v>0.25</v>
      </c>
      <c r="K5" s="28" t="s">
        <v>6</v>
      </c>
      <c r="L5" s="30">
        <v>0.15</v>
      </c>
      <c r="M5" s="30">
        <v>0.25</v>
      </c>
      <c r="N5" s="30">
        <v>0.35</v>
      </c>
      <c r="O5" s="30">
        <v>0.25</v>
      </c>
      <c r="P5" s="31" t="s">
        <v>6</v>
      </c>
      <c r="Q5" s="32">
        <v>0.5</v>
      </c>
      <c r="R5" s="25">
        <v>0.35</v>
      </c>
      <c r="S5" s="25">
        <v>0.15</v>
      </c>
      <c r="T5" s="26" t="s">
        <v>6</v>
      </c>
    </row>
    <row r="6" spans="1:20" ht="19.8" x14ac:dyDescent="0.3">
      <c r="A6" s="10">
        <v>1</v>
      </c>
      <c r="B6" s="19" t="str">
        <f>Inscritos!B4</f>
        <v>ALEJANDRO ALVAREZ SIMANCA</v>
      </c>
      <c r="C6" s="19" t="str">
        <f>+Inscritos!D4</f>
        <v>1063289594</v>
      </c>
      <c r="D6" s="7"/>
      <c r="E6" s="7"/>
      <c r="F6" s="33">
        <f t="shared" ref="F6:F38" si="0">+D6*$D$5+E6*$E$5</f>
        <v>0</v>
      </c>
      <c r="G6" s="6"/>
      <c r="H6" s="6"/>
      <c r="I6" s="6"/>
      <c r="J6" s="6"/>
      <c r="K6" s="33">
        <f t="shared" ref="K6:K38" si="1">+G6*$G$5+H6*$H$5+I6*$I$5+J6*$J$5</f>
        <v>0</v>
      </c>
      <c r="L6" s="6"/>
      <c r="M6" s="6"/>
      <c r="N6" s="6"/>
      <c r="O6" s="6"/>
      <c r="P6" s="33">
        <f t="shared" ref="P6:P38" si="2">+L6*$L$5+M6*$M$5+N6*$N$5+O6*$O$5</f>
        <v>0</v>
      </c>
      <c r="Q6" s="4"/>
      <c r="R6" s="5"/>
      <c r="S6" s="5"/>
      <c r="T6" s="33">
        <f t="shared" ref="T6:T38" si="3">+Q6*$Q$5+R6*$R$5+S6*$S$5</f>
        <v>0</v>
      </c>
    </row>
    <row r="7" spans="1:20" ht="19.8" x14ac:dyDescent="0.3">
      <c r="A7" s="10">
        <v>2</v>
      </c>
      <c r="B7" s="19" t="str">
        <f>Inscritos!B5</f>
        <v xml:space="preserve">ALEJANDRO VILLALOBOS HUERTA </v>
      </c>
      <c r="C7" s="19" t="str">
        <f>+Inscritos!D5</f>
        <v>1063291700</v>
      </c>
      <c r="D7" s="7"/>
      <c r="E7" s="7"/>
      <c r="F7" s="33">
        <f t="shared" si="0"/>
        <v>0</v>
      </c>
      <c r="G7" s="6"/>
      <c r="H7" s="6"/>
      <c r="I7" s="6"/>
      <c r="J7" s="6"/>
      <c r="K7" s="33">
        <f t="shared" si="1"/>
        <v>0</v>
      </c>
      <c r="L7" s="6"/>
      <c r="M7" s="6"/>
      <c r="N7" s="6"/>
      <c r="O7" s="6"/>
      <c r="P7" s="33">
        <f t="shared" si="2"/>
        <v>0</v>
      </c>
      <c r="Q7" s="4"/>
      <c r="R7" s="5"/>
      <c r="S7" s="5"/>
      <c r="T7" s="33">
        <f t="shared" si="3"/>
        <v>0</v>
      </c>
    </row>
    <row r="8" spans="1:20" ht="19.8" x14ac:dyDescent="0.3">
      <c r="A8" s="10">
        <v>3</v>
      </c>
      <c r="B8" s="19" t="str">
        <f>Inscritos!B6</f>
        <v xml:space="preserve">ANA SOFIA ACOSTA DE LA ROSA </v>
      </c>
      <c r="C8" s="19" t="str">
        <f>+Inscritos!D6</f>
        <v>1063360341</v>
      </c>
      <c r="D8" s="7"/>
      <c r="E8" s="7"/>
      <c r="F8" s="33">
        <f t="shared" si="0"/>
        <v>0</v>
      </c>
      <c r="G8" s="6"/>
      <c r="H8" s="6"/>
      <c r="I8" s="6"/>
      <c r="J8" s="6"/>
      <c r="K8" s="33">
        <f t="shared" si="1"/>
        <v>0</v>
      </c>
      <c r="L8" s="6"/>
      <c r="M8" s="6"/>
      <c r="N8" s="6"/>
      <c r="O8" s="6"/>
      <c r="P8" s="33">
        <f t="shared" si="2"/>
        <v>0</v>
      </c>
      <c r="Q8" s="4"/>
      <c r="R8" s="5"/>
      <c r="S8" s="5"/>
      <c r="T8" s="33">
        <f t="shared" si="3"/>
        <v>0</v>
      </c>
    </row>
    <row r="9" spans="1:20" ht="19.8" x14ac:dyDescent="0.3">
      <c r="A9" s="10">
        <v>4</v>
      </c>
      <c r="B9" s="19" t="str">
        <f>Inscritos!B7</f>
        <v xml:space="preserve">ANDRÉS CAMILO NAVARRO ENSUNCHO </v>
      </c>
      <c r="C9" s="19" t="str">
        <f>+Inscritos!D7</f>
        <v>1063788976</v>
      </c>
      <c r="D9" s="7"/>
      <c r="E9" s="7"/>
      <c r="F9" s="33">
        <f t="shared" si="0"/>
        <v>0</v>
      </c>
      <c r="G9" s="6"/>
      <c r="H9" s="6"/>
      <c r="I9" s="6"/>
      <c r="J9" s="6"/>
      <c r="K9" s="33">
        <f t="shared" si="1"/>
        <v>0</v>
      </c>
      <c r="L9" s="6"/>
      <c r="M9" s="6"/>
      <c r="N9" s="6"/>
      <c r="O9" s="6"/>
      <c r="P9" s="33">
        <f t="shared" si="2"/>
        <v>0</v>
      </c>
      <c r="Q9" s="4"/>
      <c r="R9" s="5"/>
      <c r="S9" s="5"/>
      <c r="T9" s="33">
        <f t="shared" si="3"/>
        <v>0</v>
      </c>
    </row>
    <row r="10" spans="1:20" ht="19.8" x14ac:dyDescent="0.3">
      <c r="A10" s="10">
        <v>5</v>
      </c>
      <c r="B10" s="19" t="str">
        <f>Inscritos!B8</f>
        <v xml:space="preserve">ANDRES JOSE MARTINEZ ARRIETA </v>
      </c>
      <c r="C10" s="19" t="str">
        <f>+Inscritos!D8</f>
        <v>1063780083</v>
      </c>
      <c r="D10" s="7"/>
      <c r="E10" s="7"/>
      <c r="F10" s="33">
        <f t="shared" si="0"/>
        <v>0</v>
      </c>
      <c r="G10" s="6"/>
      <c r="H10" s="6"/>
      <c r="I10" s="6"/>
      <c r="J10" s="6"/>
      <c r="K10" s="33">
        <f t="shared" si="1"/>
        <v>0</v>
      </c>
      <c r="L10" s="6"/>
      <c r="M10" s="6"/>
      <c r="N10" s="6"/>
      <c r="O10" s="6"/>
      <c r="P10" s="33">
        <f t="shared" si="2"/>
        <v>0</v>
      </c>
      <c r="Q10" s="4"/>
      <c r="R10" s="5"/>
      <c r="S10" s="5"/>
      <c r="T10" s="33">
        <f t="shared" si="3"/>
        <v>0</v>
      </c>
    </row>
    <row r="11" spans="1:20" ht="19.8" x14ac:dyDescent="0.3">
      <c r="A11" s="10">
        <v>6</v>
      </c>
      <c r="B11" s="19" t="str">
        <f>Inscritos!B9</f>
        <v>ÁNGEL EMIRO HERNÁNDEZ LARIOS</v>
      </c>
      <c r="C11" s="19" t="str">
        <f>+Inscritos!D9</f>
        <v>1064193460</v>
      </c>
      <c r="D11" s="7"/>
      <c r="E11" s="7"/>
      <c r="F11" s="33">
        <f t="shared" si="0"/>
        <v>0</v>
      </c>
      <c r="G11" s="6"/>
      <c r="H11" s="6"/>
      <c r="I11" s="6"/>
      <c r="J11" s="6"/>
      <c r="K11" s="33">
        <f t="shared" si="1"/>
        <v>0</v>
      </c>
      <c r="L11" s="6"/>
      <c r="M11" s="6"/>
      <c r="N11" s="6"/>
      <c r="O11" s="6"/>
      <c r="P11" s="33">
        <f t="shared" si="2"/>
        <v>0</v>
      </c>
      <c r="Q11" s="4"/>
      <c r="R11" s="5"/>
      <c r="S11" s="5"/>
      <c r="T11" s="33">
        <f t="shared" si="3"/>
        <v>0</v>
      </c>
    </row>
    <row r="12" spans="1:20" ht="19.8" x14ac:dyDescent="0.3">
      <c r="A12" s="10">
        <v>7</v>
      </c>
      <c r="B12" s="19" t="str">
        <f>Inscritos!B10</f>
        <v xml:space="preserve">ANISLEY GUZMÁN AGAMES </v>
      </c>
      <c r="C12" s="19" t="str">
        <f>+Inscritos!D10</f>
        <v>1063789960</v>
      </c>
      <c r="D12" s="7"/>
      <c r="E12" s="7"/>
      <c r="F12" s="33">
        <f t="shared" si="0"/>
        <v>0</v>
      </c>
      <c r="G12" s="6"/>
      <c r="H12" s="6"/>
      <c r="I12" s="6"/>
      <c r="J12" s="6"/>
      <c r="K12" s="33">
        <f t="shared" si="1"/>
        <v>0</v>
      </c>
      <c r="L12" s="6"/>
      <c r="M12" s="6"/>
      <c r="N12" s="6"/>
      <c r="O12" s="6"/>
      <c r="P12" s="33">
        <f t="shared" si="2"/>
        <v>0</v>
      </c>
      <c r="Q12" s="4"/>
      <c r="R12" s="5"/>
      <c r="S12" s="5"/>
      <c r="T12" s="33">
        <f t="shared" si="3"/>
        <v>0</v>
      </c>
    </row>
    <row r="13" spans="1:20" ht="19.8" x14ac:dyDescent="0.3">
      <c r="A13" s="10">
        <v>8</v>
      </c>
      <c r="B13" s="19" t="str">
        <f>Inscritos!B11</f>
        <v xml:space="preserve">BRENDA MELISA PATERNINA ROJAS </v>
      </c>
      <c r="C13" s="19" t="str">
        <f>+Inscritos!D11</f>
        <v>1063290465</v>
      </c>
      <c r="D13" s="7"/>
      <c r="E13" s="7"/>
      <c r="F13" s="33">
        <f t="shared" si="0"/>
        <v>0</v>
      </c>
      <c r="G13" s="6"/>
      <c r="H13" s="6"/>
      <c r="I13" s="6"/>
      <c r="J13" s="6"/>
      <c r="K13" s="33">
        <f t="shared" si="1"/>
        <v>0</v>
      </c>
      <c r="L13" s="6"/>
      <c r="M13" s="6"/>
      <c r="N13" s="6"/>
      <c r="O13" s="6"/>
      <c r="P13" s="33">
        <f t="shared" si="2"/>
        <v>0</v>
      </c>
      <c r="Q13" s="4"/>
      <c r="R13" s="5"/>
      <c r="S13" s="5"/>
      <c r="T13" s="33">
        <f t="shared" si="3"/>
        <v>0</v>
      </c>
    </row>
    <row r="14" spans="1:20" ht="19.8" x14ac:dyDescent="0.3">
      <c r="A14" s="10">
        <v>9</v>
      </c>
      <c r="B14" s="19" t="str">
        <f>Inscritos!B12</f>
        <v xml:space="preserve">CAMILO ANDRÉS VERGARA LÓPEZ </v>
      </c>
      <c r="C14" s="19" t="str">
        <f>+Inscritos!D12</f>
        <v>1063287690</v>
      </c>
      <c r="D14" s="7"/>
      <c r="E14" s="7"/>
      <c r="F14" s="33">
        <f t="shared" si="0"/>
        <v>0</v>
      </c>
      <c r="G14" s="6"/>
      <c r="H14" s="6"/>
      <c r="I14" s="6"/>
      <c r="J14" s="6"/>
      <c r="K14" s="33">
        <f t="shared" si="1"/>
        <v>0</v>
      </c>
      <c r="L14" s="6"/>
      <c r="M14" s="6"/>
      <c r="N14" s="6"/>
      <c r="O14" s="6"/>
      <c r="P14" s="33">
        <f t="shared" si="2"/>
        <v>0</v>
      </c>
      <c r="Q14" s="4"/>
      <c r="R14" s="5"/>
      <c r="S14" s="5"/>
      <c r="T14" s="33">
        <f t="shared" si="3"/>
        <v>0</v>
      </c>
    </row>
    <row r="15" spans="1:20" ht="19.8" x14ac:dyDescent="0.3">
      <c r="A15" s="10">
        <v>10</v>
      </c>
      <c r="B15" s="19" t="str">
        <f>Inscritos!B13</f>
        <v xml:space="preserve">CARLOS MARIO DÍAZ MORENO </v>
      </c>
      <c r="C15" s="19" t="str">
        <f>+Inscritos!D13</f>
        <v>1063360161</v>
      </c>
      <c r="D15" s="7"/>
      <c r="E15" s="7"/>
      <c r="F15" s="33">
        <f t="shared" si="0"/>
        <v>0</v>
      </c>
      <c r="G15" s="6"/>
      <c r="H15" s="6"/>
      <c r="I15" s="6"/>
      <c r="J15" s="6"/>
      <c r="K15" s="33">
        <f t="shared" si="1"/>
        <v>0</v>
      </c>
      <c r="L15" s="6"/>
      <c r="M15" s="6"/>
      <c r="N15" s="6"/>
      <c r="O15" s="6"/>
      <c r="P15" s="33">
        <f t="shared" si="2"/>
        <v>0</v>
      </c>
      <c r="Q15" s="4"/>
      <c r="R15" s="5"/>
      <c r="S15" s="5"/>
      <c r="T15" s="33">
        <f t="shared" si="3"/>
        <v>0</v>
      </c>
    </row>
    <row r="16" spans="1:20" ht="19.8" x14ac:dyDescent="0.3">
      <c r="A16" s="10">
        <v>11</v>
      </c>
      <c r="B16" s="19" t="str">
        <f>Inscritos!B14</f>
        <v xml:space="preserve">DAINER DAVID HUERTA CASSIANI </v>
      </c>
      <c r="C16" s="19" t="str">
        <f>+Inscritos!D14</f>
        <v>1063361959</v>
      </c>
      <c r="D16" s="7"/>
      <c r="E16" s="7"/>
      <c r="F16" s="33">
        <f t="shared" si="0"/>
        <v>0</v>
      </c>
      <c r="G16" s="6"/>
      <c r="H16" s="6"/>
      <c r="I16" s="6"/>
      <c r="J16" s="6"/>
      <c r="K16" s="33">
        <f t="shared" si="1"/>
        <v>0</v>
      </c>
      <c r="L16" s="6"/>
      <c r="M16" s="6"/>
      <c r="N16" s="6"/>
      <c r="O16" s="6"/>
      <c r="P16" s="33">
        <f t="shared" si="2"/>
        <v>0</v>
      </c>
      <c r="Q16" s="4"/>
      <c r="R16" s="5"/>
      <c r="S16" s="5"/>
      <c r="T16" s="33">
        <f t="shared" si="3"/>
        <v>0</v>
      </c>
    </row>
    <row r="17" spans="1:20" ht="19.8" x14ac:dyDescent="0.3">
      <c r="A17" s="10">
        <v>12</v>
      </c>
      <c r="B17" s="19" t="str">
        <f>Inscritos!B15</f>
        <v xml:space="preserve">DANIELA ISABEL BONOLIS ROMERO </v>
      </c>
      <c r="C17" s="19" t="str">
        <f>+Inscritos!D15</f>
        <v>1063789798</v>
      </c>
      <c r="D17" s="7"/>
      <c r="E17" s="7"/>
      <c r="F17" s="33">
        <f t="shared" si="0"/>
        <v>0</v>
      </c>
      <c r="G17" s="6"/>
      <c r="H17" s="6"/>
      <c r="I17" s="6"/>
      <c r="J17" s="6"/>
      <c r="K17" s="33">
        <f t="shared" si="1"/>
        <v>0</v>
      </c>
      <c r="L17" s="6"/>
      <c r="M17" s="6"/>
      <c r="N17" s="6"/>
      <c r="O17" s="6"/>
      <c r="P17" s="33">
        <f t="shared" si="2"/>
        <v>0</v>
      </c>
      <c r="Q17" s="4"/>
      <c r="R17" s="5"/>
      <c r="S17" s="5"/>
      <c r="T17" s="33">
        <f t="shared" si="3"/>
        <v>0</v>
      </c>
    </row>
    <row r="18" spans="1:20" ht="19.8" x14ac:dyDescent="0.3">
      <c r="A18" s="10">
        <v>13</v>
      </c>
      <c r="B18" s="19" t="str">
        <f>Inscritos!B16</f>
        <v xml:space="preserve">DANIELA LONDOÑO AGUDELO </v>
      </c>
      <c r="C18" s="19" t="str">
        <f>+Inscritos!D16</f>
        <v>1063789677</v>
      </c>
      <c r="D18" s="7"/>
      <c r="E18" s="7"/>
      <c r="F18" s="33">
        <f t="shared" si="0"/>
        <v>0</v>
      </c>
      <c r="G18" s="6"/>
      <c r="H18" s="6"/>
      <c r="I18" s="6"/>
      <c r="J18" s="6"/>
      <c r="K18" s="33">
        <f t="shared" si="1"/>
        <v>0</v>
      </c>
      <c r="L18" s="6"/>
      <c r="M18" s="6"/>
      <c r="N18" s="6"/>
      <c r="O18" s="6"/>
      <c r="P18" s="33">
        <f t="shared" si="2"/>
        <v>0</v>
      </c>
      <c r="Q18" s="4"/>
      <c r="R18" s="5"/>
      <c r="S18" s="5"/>
      <c r="T18" s="33">
        <f t="shared" si="3"/>
        <v>0</v>
      </c>
    </row>
    <row r="19" spans="1:20" ht="19.8" x14ac:dyDescent="0.3">
      <c r="A19" s="10">
        <v>14</v>
      </c>
      <c r="B19" s="19" t="str">
        <f>Inscritos!B17</f>
        <v xml:space="preserve">DANIELA MUÑOZ MARTÍNEZ </v>
      </c>
      <c r="C19" s="19" t="str">
        <f>+Inscritos!D17</f>
        <v>1063290961</v>
      </c>
      <c r="D19" s="7"/>
      <c r="E19" s="7"/>
      <c r="F19" s="33">
        <f t="shared" si="0"/>
        <v>0</v>
      </c>
      <c r="G19" s="6"/>
      <c r="H19" s="6"/>
      <c r="I19" s="6"/>
      <c r="J19" s="6"/>
      <c r="K19" s="33">
        <f t="shared" si="1"/>
        <v>0</v>
      </c>
      <c r="L19" s="6"/>
      <c r="M19" s="6"/>
      <c r="N19" s="6"/>
      <c r="O19" s="6"/>
      <c r="P19" s="33">
        <f t="shared" si="2"/>
        <v>0</v>
      </c>
      <c r="Q19" s="4"/>
      <c r="R19" s="5"/>
      <c r="S19" s="5"/>
      <c r="T19" s="33">
        <f t="shared" si="3"/>
        <v>0</v>
      </c>
    </row>
    <row r="20" spans="1:20" ht="19.8" x14ac:dyDescent="0.3">
      <c r="A20" s="10">
        <v>15</v>
      </c>
      <c r="B20" s="19" t="str">
        <f>Inscritos!B18</f>
        <v xml:space="preserve">DEGUAR MORENO RODRÍGUEZ </v>
      </c>
      <c r="C20" s="19" t="str">
        <f>+Inscritos!D18</f>
        <v>1066605960</v>
      </c>
      <c r="D20" s="7"/>
      <c r="E20" s="7"/>
      <c r="F20" s="33">
        <f t="shared" si="0"/>
        <v>0</v>
      </c>
      <c r="G20" s="6"/>
      <c r="H20" s="6"/>
      <c r="I20" s="6"/>
      <c r="J20" s="6"/>
      <c r="K20" s="33">
        <f t="shared" si="1"/>
        <v>0</v>
      </c>
      <c r="L20" s="6"/>
      <c r="M20" s="6"/>
      <c r="N20" s="6"/>
      <c r="O20" s="6"/>
      <c r="P20" s="33">
        <f t="shared" si="2"/>
        <v>0</v>
      </c>
      <c r="Q20" s="4"/>
      <c r="R20" s="5"/>
      <c r="S20" s="5"/>
      <c r="T20" s="33">
        <f t="shared" si="3"/>
        <v>0</v>
      </c>
    </row>
    <row r="21" spans="1:20" ht="19.8" x14ac:dyDescent="0.3">
      <c r="A21" s="10">
        <v>16</v>
      </c>
      <c r="B21" s="19" t="str">
        <f>Inscritos!B19</f>
        <v xml:space="preserve">EDANYS LUZ VIDAL VALENCIA </v>
      </c>
      <c r="C21" s="19" t="str">
        <f>+Inscritos!D19</f>
        <v>1063359282</v>
      </c>
      <c r="D21" s="7"/>
      <c r="E21" s="7"/>
      <c r="F21" s="33">
        <f t="shared" si="0"/>
        <v>0</v>
      </c>
      <c r="G21" s="6"/>
      <c r="H21" s="6"/>
      <c r="I21" s="6"/>
      <c r="J21" s="6"/>
      <c r="K21" s="33">
        <f t="shared" si="1"/>
        <v>0</v>
      </c>
      <c r="L21" s="6"/>
      <c r="M21" s="6"/>
      <c r="N21" s="6"/>
      <c r="O21" s="6"/>
      <c r="P21" s="33">
        <f t="shared" si="2"/>
        <v>0</v>
      </c>
      <c r="Q21" s="4"/>
      <c r="R21" s="5"/>
      <c r="S21" s="5"/>
      <c r="T21" s="33">
        <f t="shared" si="3"/>
        <v>0</v>
      </c>
    </row>
    <row r="22" spans="1:20" ht="19.8" x14ac:dyDescent="0.3">
      <c r="A22" s="10">
        <v>17</v>
      </c>
      <c r="B22" s="19" t="str">
        <f>Inscritos!B20</f>
        <v xml:space="preserve">GABRIELA BARRETO HERNÁNDEZ </v>
      </c>
      <c r="C22" s="19" t="str">
        <f>+Inscritos!D20</f>
        <v>1063361586</v>
      </c>
      <c r="D22" s="7"/>
      <c r="E22" s="7"/>
      <c r="F22" s="33">
        <f t="shared" si="0"/>
        <v>0</v>
      </c>
      <c r="G22" s="6"/>
      <c r="H22" s="6"/>
      <c r="I22" s="6"/>
      <c r="J22" s="6"/>
      <c r="K22" s="33">
        <f t="shared" si="1"/>
        <v>0</v>
      </c>
      <c r="L22" s="6"/>
      <c r="M22" s="6"/>
      <c r="N22" s="6"/>
      <c r="O22" s="6"/>
      <c r="P22" s="33">
        <f t="shared" si="2"/>
        <v>0</v>
      </c>
      <c r="Q22" s="4"/>
      <c r="R22" s="5"/>
      <c r="S22" s="5"/>
      <c r="T22" s="33">
        <f t="shared" si="3"/>
        <v>0</v>
      </c>
    </row>
    <row r="23" spans="1:20" ht="19.8" x14ac:dyDescent="0.3">
      <c r="A23" s="10">
        <v>18</v>
      </c>
      <c r="B23" s="19" t="str">
        <f>Inscritos!B21</f>
        <v xml:space="preserve">ISABEL CRISTINA PALOMO GARCÉS </v>
      </c>
      <c r="C23" s="19" t="str">
        <f>+Inscritos!D21</f>
        <v xml:space="preserve">1042586863 </v>
      </c>
      <c r="D23" s="7"/>
      <c r="E23" s="7"/>
      <c r="F23" s="33">
        <f t="shared" si="0"/>
        <v>0</v>
      </c>
      <c r="G23" s="6"/>
      <c r="H23" s="6"/>
      <c r="I23" s="6"/>
      <c r="J23" s="6"/>
      <c r="K23" s="33">
        <f t="shared" si="1"/>
        <v>0</v>
      </c>
      <c r="L23" s="6"/>
      <c r="M23" s="6"/>
      <c r="N23" s="6"/>
      <c r="O23" s="6"/>
      <c r="P23" s="33">
        <f t="shared" si="2"/>
        <v>0</v>
      </c>
      <c r="Q23" s="4"/>
      <c r="R23" s="5"/>
      <c r="S23" s="5"/>
      <c r="T23" s="33">
        <f t="shared" si="3"/>
        <v>0</v>
      </c>
    </row>
    <row r="24" spans="1:20" ht="19.8" x14ac:dyDescent="0.3">
      <c r="A24" s="10">
        <v>19</v>
      </c>
      <c r="B24" s="19" t="str">
        <f>Inscritos!B22</f>
        <v xml:space="preserve">ISABELLA SOFÍA GALVÁN HERNÁNDEZ </v>
      </c>
      <c r="C24" s="19" t="str">
        <f>+Inscritos!D22</f>
        <v>1063789969</v>
      </c>
      <c r="D24" s="7"/>
      <c r="E24" s="7"/>
      <c r="F24" s="33">
        <f t="shared" si="0"/>
        <v>0</v>
      </c>
      <c r="G24" s="6"/>
      <c r="H24" s="6"/>
      <c r="I24" s="6"/>
      <c r="J24" s="6"/>
      <c r="K24" s="33">
        <f t="shared" si="1"/>
        <v>0</v>
      </c>
      <c r="L24" s="6"/>
      <c r="M24" s="6"/>
      <c r="N24" s="6"/>
      <c r="O24" s="6"/>
      <c r="P24" s="33">
        <f t="shared" si="2"/>
        <v>0</v>
      </c>
      <c r="Q24" s="4"/>
      <c r="R24" s="5"/>
      <c r="S24" s="5"/>
      <c r="T24" s="33">
        <f t="shared" si="3"/>
        <v>0</v>
      </c>
    </row>
    <row r="25" spans="1:20" ht="19.8" x14ac:dyDescent="0.3">
      <c r="A25" s="10">
        <v>20</v>
      </c>
      <c r="B25" s="19" t="str">
        <f>Inscritos!B23</f>
        <v>ITAMAR ARROYO CARRASCAL</v>
      </c>
      <c r="C25" s="19" t="str">
        <f>+Inscritos!D23</f>
        <v>1066605712</v>
      </c>
      <c r="D25" s="7"/>
      <c r="E25" s="7"/>
      <c r="F25" s="33">
        <f t="shared" si="0"/>
        <v>0</v>
      </c>
      <c r="G25" s="6"/>
      <c r="H25" s="6"/>
      <c r="I25" s="6"/>
      <c r="J25" s="6"/>
      <c r="K25" s="33">
        <f t="shared" si="1"/>
        <v>0</v>
      </c>
      <c r="L25" s="6"/>
      <c r="M25" s="6"/>
      <c r="N25" s="6"/>
      <c r="O25" s="6"/>
      <c r="P25" s="33">
        <f t="shared" si="2"/>
        <v>0</v>
      </c>
      <c r="Q25" s="4"/>
      <c r="R25" s="5"/>
      <c r="S25" s="5"/>
      <c r="T25" s="33">
        <f t="shared" si="3"/>
        <v>0</v>
      </c>
    </row>
    <row r="26" spans="1:20" ht="19.8" x14ac:dyDescent="0.3">
      <c r="A26" s="10">
        <v>21</v>
      </c>
      <c r="B26" s="19" t="str">
        <f>Inscritos!B24</f>
        <v xml:space="preserve">JAZMÍN RAMOS HERRERA </v>
      </c>
      <c r="C26" s="19" t="str">
        <f>+Inscritos!D24</f>
        <v>1063360384</v>
      </c>
      <c r="D26" s="7"/>
      <c r="E26" s="7"/>
      <c r="F26" s="33">
        <f t="shared" si="0"/>
        <v>0</v>
      </c>
      <c r="G26" s="6"/>
      <c r="H26" s="6"/>
      <c r="I26" s="6"/>
      <c r="J26" s="6"/>
      <c r="K26" s="33">
        <f t="shared" si="1"/>
        <v>0</v>
      </c>
      <c r="L26" s="6"/>
      <c r="M26" s="6"/>
      <c r="N26" s="6"/>
      <c r="O26" s="6"/>
      <c r="P26" s="33">
        <f t="shared" si="2"/>
        <v>0</v>
      </c>
      <c r="Q26" s="8"/>
      <c r="R26" s="9"/>
      <c r="S26" s="9"/>
      <c r="T26" s="33">
        <f t="shared" si="3"/>
        <v>0</v>
      </c>
    </row>
    <row r="27" spans="1:20" ht="19.8" x14ac:dyDescent="0.3">
      <c r="A27" s="10">
        <v>22</v>
      </c>
      <c r="B27" s="19" t="str">
        <f>Inscritos!B25</f>
        <v>JOEL GUZMÁN AGAMES</v>
      </c>
      <c r="C27" s="19" t="str">
        <f>+Inscritos!D25</f>
        <v>1063360359</v>
      </c>
      <c r="D27" s="7"/>
      <c r="E27" s="7"/>
      <c r="F27" s="33">
        <f t="shared" si="0"/>
        <v>0</v>
      </c>
      <c r="G27" s="6"/>
      <c r="H27" s="6"/>
      <c r="I27" s="6"/>
      <c r="J27" s="6"/>
      <c r="K27" s="33">
        <f t="shared" si="1"/>
        <v>0</v>
      </c>
      <c r="L27" s="6"/>
      <c r="M27" s="6"/>
      <c r="N27" s="6"/>
      <c r="O27" s="6"/>
      <c r="P27" s="33">
        <f t="shared" si="2"/>
        <v>0</v>
      </c>
      <c r="Q27" s="8"/>
      <c r="R27" s="9"/>
      <c r="S27" s="9"/>
      <c r="T27" s="33">
        <f t="shared" si="3"/>
        <v>0</v>
      </c>
    </row>
    <row r="28" spans="1:20" ht="19.8" x14ac:dyDescent="0.3">
      <c r="A28" s="10">
        <v>23</v>
      </c>
      <c r="B28" s="19" t="str">
        <f>Inscritos!B26</f>
        <v>JOSE LUIS VANEGAS CONTRERAS</v>
      </c>
      <c r="C28" s="19" t="str">
        <f>+Inscritos!D26</f>
        <v>1063790058</v>
      </c>
      <c r="D28" s="7"/>
      <c r="E28" s="7"/>
      <c r="F28" s="33">
        <f t="shared" si="0"/>
        <v>0</v>
      </c>
      <c r="G28" s="6"/>
      <c r="H28" s="6"/>
      <c r="I28" s="6"/>
      <c r="J28" s="6"/>
      <c r="K28" s="33">
        <f t="shared" si="1"/>
        <v>0</v>
      </c>
      <c r="L28" s="6"/>
      <c r="M28" s="6"/>
      <c r="N28" s="6"/>
      <c r="O28" s="6"/>
      <c r="P28" s="33">
        <f t="shared" si="2"/>
        <v>0</v>
      </c>
      <c r="Q28" s="8"/>
      <c r="R28" s="9"/>
      <c r="S28" s="9"/>
      <c r="T28" s="33">
        <f t="shared" si="3"/>
        <v>0</v>
      </c>
    </row>
    <row r="29" spans="1:20" ht="19.8" x14ac:dyDescent="0.3">
      <c r="A29" s="10">
        <v>24</v>
      </c>
      <c r="B29" s="19" t="str">
        <f>Inscritos!B27</f>
        <v xml:space="preserve">KAREN LORENA PÉREZ SIERRA </v>
      </c>
      <c r="C29" s="19" t="str">
        <f>+Inscritos!D27</f>
        <v>1063359896</v>
      </c>
      <c r="D29" s="7"/>
      <c r="E29" s="7"/>
      <c r="F29" s="33">
        <f t="shared" si="0"/>
        <v>0</v>
      </c>
      <c r="G29" s="6"/>
      <c r="H29" s="6"/>
      <c r="I29" s="6"/>
      <c r="J29" s="6"/>
      <c r="K29" s="33">
        <f t="shared" si="1"/>
        <v>0</v>
      </c>
      <c r="L29" s="6"/>
      <c r="M29" s="6"/>
      <c r="N29" s="6"/>
      <c r="O29" s="6"/>
      <c r="P29" s="33">
        <f t="shared" si="2"/>
        <v>0</v>
      </c>
      <c r="Q29" s="8"/>
      <c r="R29" s="9"/>
      <c r="S29" s="9"/>
      <c r="T29" s="33">
        <f t="shared" si="3"/>
        <v>0</v>
      </c>
    </row>
    <row r="30" spans="1:20" ht="19.8" x14ac:dyDescent="0.3">
      <c r="A30" s="10">
        <v>25</v>
      </c>
      <c r="B30" s="19" t="str">
        <f>Inscritos!B28</f>
        <v>KATHERINE GUZMÁN ARIAS</v>
      </c>
      <c r="C30" s="19" t="str">
        <f>+Inscritos!D28</f>
        <v>1063789184</v>
      </c>
      <c r="D30" s="7"/>
      <c r="E30" s="7"/>
      <c r="F30" s="33">
        <f t="shared" si="0"/>
        <v>0</v>
      </c>
      <c r="G30" s="6"/>
      <c r="H30" s="6"/>
      <c r="I30" s="6"/>
      <c r="J30" s="6"/>
      <c r="K30" s="33">
        <f t="shared" si="1"/>
        <v>0</v>
      </c>
      <c r="L30" s="6"/>
      <c r="M30" s="6"/>
      <c r="N30" s="6"/>
      <c r="O30" s="6"/>
      <c r="P30" s="33">
        <f t="shared" si="2"/>
        <v>0</v>
      </c>
      <c r="Q30" s="8"/>
      <c r="R30" s="9"/>
      <c r="S30" s="9"/>
      <c r="T30" s="33">
        <f t="shared" si="3"/>
        <v>0</v>
      </c>
    </row>
    <row r="31" spans="1:20" ht="19.8" x14ac:dyDescent="0.3">
      <c r="A31" s="10">
        <v>26</v>
      </c>
      <c r="B31" s="19" t="str">
        <f>Inscritos!B29</f>
        <v xml:space="preserve">LUIS CAMILO LONDOÑO PEÑATE </v>
      </c>
      <c r="C31" s="19" t="str">
        <f>+Inscritos!D29</f>
        <v>1063360671</v>
      </c>
      <c r="D31" s="7"/>
      <c r="E31" s="7"/>
      <c r="F31" s="33">
        <f t="shared" si="0"/>
        <v>0</v>
      </c>
      <c r="G31" s="6"/>
      <c r="H31" s="6"/>
      <c r="I31" s="6"/>
      <c r="J31" s="6"/>
      <c r="K31" s="33">
        <f t="shared" si="1"/>
        <v>0</v>
      </c>
      <c r="L31" s="6"/>
      <c r="M31" s="6"/>
      <c r="N31" s="6"/>
      <c r="O31" s="6"/>
      <c r="P31" s="33">
        <f t="shared" si="2"/>
        <v>0</v>
      </c>
      <c r="Q31" s="8"/>
      <c r="R31" s="9"/>
      <c r="S31" s="9"/>
      <c r="T31" s="33">
        <f t="shared" si="3"/>
        <v>0</v>
      </c>
    </row>
    <row r="32" spans="1:20" ht="19.8" x14ac:dyDescent="0.3">
      <c r="A32" s="10">
        <v>27</v>
      </c>
      <c r="B32" s="19" t="str">
        <f>Inscritos!B30</f>
        <v>MATEO CARRIAZO CASTILLO</v>
      </c>
      <c r="C32" s="19" t="str">
        <f>+Inscritos!D30</f>
        <v>1063789240</v>
      </c>
      <c r="D32" s="7"/>
      <c r="E32" s="7"/>
      <c r="F32" s="33">
        <f t="shared" si="0"/>
        <v>0</v>
      </c>
      <c r="G32" s="6"/>
      <c r="H32" s="6"/>
      <c r="I32" s="6"/>
      <c r="J32" s="6"/>
      <c r="K32" s="33">
        <f t="shared" si="1"/>
        <v>0</v>
      </c>
      <c r="L32" s="6"/>
      <c r="M32" s="6"/>
      <c r="N32" s="6"/>
      <c r="O32" s="6"/>
      <c r="P32" s="33">
        <f t="shared" si="2"/>
        <v>0</v>
      </c>
      <c r="Q32" s="8"/>
      <c r="R32" s="9"/>
      <c r="S32" s="9"/>
      <c r="T32" s="33">
        <f t="shared" si="3"/>
        <v>0</v>
      </c>
    </row>
    <row r="33" spans="1:20" ht="19.8" x14ac:dyDescent="0.3">
      <c r="A33" s="10">
        <v>28</v>
      </c>
      <c r="B33" s="19" t="str">
        <f>Inscritos!B31</f>
        <v>MATIAS REGINO HERNANDEZ</v>
      </c>
      <c r="C33" s="19" t="str">
        <f>+Inscritos!D31</f>
        <v>1067901390</v>
      </c>
      <c r="D33" s="7"/>
      <c r="E33" s="7"/>
      <c r="F33" s="33">
        <f t="shared" si="0"/>
        <v>0</v>
      </c>
      <c r="G33" s="6"/>
      <c r="H33" s="6"/>
      <c r="I33" s="6"/>
      <c r="J33" s="6"/>
      <c r="K33" s="33">
        <f t="shared" si="1"/>
        <v>0</v>
      </c>
      <c r="L33" s="6"/>
      <c r="M33" s="6"/>
      <c r="N33" s="6"/>
      <c r="O33" s="6"/>
      <c r="P33" s="33">
        <f t="shared" si="2"/>
        <v>0</v>
      </c>
      <c r="Q33" s="8"/>
      <c r="R33" s="9"/>
      <c r="S33" s="9"/>
      <c r="T33" s="33">
        <f t="shared" si="3"/>
        <v>0</v>
      </c>
    </row>
    <row r="34" spans="1:20" ht="19.8" x14ac:dyDescent="0.3">
      <c r="A34" s="10">
        <v>29</v>
      </c>
      <c r="B34" s="19" t="str">
        <f>Inscritos!B32</f>
        <v xml:space="preserve">MAYERLIS MARÍA HOLGUÍN VILORIA </v>
      </c>
      <c r="C34" s="19" t="str">
        <f>+Inscritos!D32</f>
        <v>1063789424</v>
      </c>
      <c r="D34" s="7"/>
      <c r="E34" s="7"/>
      <c r="F34" s="33">
        <f t="shared" si="0"/>
        <v>0</v>
      </c>
      <c r="G34" s="6"/>
      <c r="H34" s="6"/>
      <c r="I34" s="6"/>
      <c r="J34" s="6"/>
      <c r="K34" s="33">
        <f t="shared" si="1"/>
        <v>0</v>
      </c>
      <c r="L34" s="6"/>
      <c r="M34" s="6"/>
      <c r="N34" s="6"/>
      <c r="O34" s="6"/>
      <c r="P34" s="33">
        <f t="shared" si="2"/>
        <v>0</v>
      </c>
      <c r="Q34" s="8"/>
      <c r="R34" s="9"/>
      <c r="S34" s="9"/>
      <c r="T34" s="33">
        <f t="shared" si="3"/>
        <v>0</v>
      </c>
    </row>
    <row r="35" spans="1:20" ht="19.8" x14ac:dyDescent="0.3">
      <c r="A35" s="10">
        <v>30</v>
      </c>
      <c r="B35" s="19" t="str">
        <f>Inscritos!B33</f>
        <v xml:space="preserve">MAYERLIS ROJAS CARRASCO </v>
      </c>
      <c r="C35" s="19" t="str">
        <f>+Inscritos!D33</f>
        <v>1063789584</v>
      </c>
      <c r="D35" s="7"/>
      <c r="E35" s="7"/>
      <c r="F35" s="33">
        <f t="shared" si="0"/>
        <v>0</v>
      </c>
      <c r="G35" s="6"/>
      <c r="H35" s="6"/>
      <c r="I35" s="6"/>
      <c r="J35" s="6"/>
      <c r="K35" s="33">
        <f t="shared" si="1"/>
        <v>0</v>
      </c>
      <c r="L35" s="6"/>
      <c r="M35" s="6"/>
      <c r="N35" s="6"/>
      <c r="O35" s="6"/>
      <c r="P35" s="33">
        <f t="shared" si="2"/>
        <v>0</v>
      </c>
      <c r="Q35" s="8"/>
      <c r="R35" s="9"/>
      <c r="S35" s="9"/>
      <c r="T35" s="33">
        <f t="shared" si="3"/>
        <v>0</v>
      </c>
    </row>
    <row r="36" spans="1:20" ht="19.8" x14ac:dyDescent="0.3">
      <c r="A36" s="10">
        <v>31</v>
      </c>
      <c r="B36" s="19" t="str">
        <f>Inscritos!B34</f>
        <v>MAYLEEN GOMEZ</v>
      </c>
      <c r="C36" s="19" t="str">
        <f>+Inscritos!D34</f>
        <v>1063361243</v>
      </c>
      <c r="D36" s="7"/>
      <c r="E36" s="7"/>
      <c r="F36" s="33">
        <f t="shared" si="0"/>
        <v>0</v>
      </c>
      <c r="G36" s="6"/>
      <c r="H36" s="6"/>
      <c r="I36" s="6"/>
      <c r="J36" s="6"/>
      <c r="K36" s="33">
        <f t="shared" si="1"/>
        <v>0</v>
      </c>
      <c r="L36" s="6"/>
      <c r="M36" s="6"/>
      <c r="N36" s="6"/>
      <c r="O36" s="6"/>
      <c r="P36" s="33">
        <f t="shared" si="2"/>
        <v>0</v>
      </c>
      <c r="Q36" s="8"/>
      <c r="R36" s="9"/>
      <c r="S36" s="9"/>
      <c r="T36" s="33">
        <f t="shared" si="3"/>
        <v>0</v>
      </c>
    </row>
    <row r="37" spans="1:20" ht="19.8" x14ac:dyDescent="0.3">
      <c r="A37" s="10">
        <v>32</v>
      </c>
      <c r="B37" s="19" t="str">
        <f>Inscritos!B35</f>
        <v xml:space="preserve">MILAGROS TORRES CABEZAS </v>
      </c>
      <c r="C37" s="19" t="str">
        <f>+Inscritos!D35</f>
        <v>1063291725</v>
      </c>
      <c r="D37" s="7"/>
      <c r="E37" s="7"/>
      <c r="F37" s="33">
        <f t="shared" si="0"/>
        <v>0</v>
      </c>
      <c r="G37" s="6"/>
      <c r="H37" s="6"/>
      <c r="I37" s="6"/>
      <c r="J37" s="6"/>
      <c r="K37" s="33">
        <f t="shared" si="1"/>
        <v>0</v>
      </c>
      <c r="L37" s="6"/>
      <c r="M37" s="6"/>
      <c r="N37" s="6"/>
      <c r="O37" s="6"/>
      <c r="P37" s="33">
        <f t="shared" si="2"/>
        <v>0</v>
      </c>
      <c r="Q37" s="8"/>
      <c r="R37" s="9"/>
      <c r="S37" s="9"/>
      <c r="T37" s="33">
        <f t="shared" si="3"/>
        <v>0</v>
      </c>
    </row>
    <row r="38" spans="1:20" ht="19.8" x14ac:dyDescent="0.3">
      <c r="A38" s="10">
        <v>33</v>
      </c>
      <c r="B38" s="19" t="str">
        <f>Inscritos!B36</f>
        <v xml:space="preserve">MISHEL ANDREA HERNANDEZ BANQUEZ </v>
      </c>
      <c r="C38" s="19" t="str">
        <f>+Inscritos!D36</f>
        <v>1063291967</v>
      </c>
      <c r="D38" s="7"/>
      <c r="E38" s="7"/>
      <c r="F38" s="33">
        <f t="shared" si="0"/>
        <v>0</v>
      </c>
      <c r="G38" s="6"/>
      <c r="H38" s="6"/>
      <c r="I38" s="6"/>
      <c r="J38" s="6"/>
      <c r="K38" s="33">
        <f t="shared" si="1"/>
        <v>0</v>
      </c>
      <c r="L38" s="6"/>
      <c r="M38" s="6"/>
      <c r="N38" s="6"/>
      <c r="O38" s="6"/>
      <c r="P38" s="33">
        <f t="shared" si="2"/>
        <v>0</v>
      </c>
      <c r="Q38" s="8"/>
      <c r="R38" s="9"/>
      <c r="S38" s="9"/>
      <c r="T38" s="33">
        <f t="shared" si="3"/>
        <v>0</v>
      </c>
    </row>
    <row r="39" spans="1:20" ht="19.8" x14ac:dyDescent="0.3">
      <c r="A39" s="10">
        <v>34</v>
      </c>
      <c r="B39" s="19" t="str">
        <f>Inscritos!B37</f>
        <v xml:space="preserve">NIKOLE ALVAREZ DELGADO </v>
      </c>
      <c r="C39" s="19" t="str">
        <f>+Inscritos!D37</f>
        <v>1038115533</v>
      </c>
      <c r="D39" s="7"/>
      <c r="E39" s="7"/>
      <c r="F39" s="33">
        <f t="shared" ref="F39:F64" si="4">+D39*$D$5+E39*$E$5</f>
        <v>0</v>
      </c>
      <c r="G39" s="6"/>
      <c r="H39" s="6"/>
      <c r="I39" s="6"/>
      <c r="J39" s="6"/>
      <c r="K39" s="33">
        <f t="shared" ref="K39:K64" si="5">+G39*$G$5+H39*$H$5+I39*$I$5+J39*$J$5</f>
        <v>0</v>
      </c>
      <c r="L39" s="6"/>
      <c r="M39" s="6"/>
      <c r="N39" s="6"/>
      <c r="O39" s="6"/>
      <c r="P39" s="33">
        <f t="shared" ref="P39:P64" si="6">+L39*$L$5+M39*$M$5+N39*$N$5+O39*$O$5</f>
        <v>0</v>
      </c>
      <c r="Q39" s="8"/>
      <c r="R39" s="9"/>
      <c r="S39" s="9"/>
      <c r="T39" s="33">
        <f t="shared" ref="T39:T64" si="7">+Q39*$Q$5+R39*$R$5+S39*$S$5</f>
        <v>0</v>
      </c>
    </row>
    <row r="40" spans="1:20" ht="19.8" x14ac:dyDescent="0.3">
      <c r="A40" s="10">
        <v>35</v>
      </c>
      <c r="B40" s="19" t="str">
        <f>Inscritos!B38</f>
        <v>OSVALDO JUNIOR PIEDRAHITA GIL</v>
      </c>
      <c r="C40" s="19" t="str">
        <f>+Inscritos!D38</f>
        <v>1063789655</v>
      </c>
      <c r="D40" s="7"/>
      <c r="E40" s="7"/>
      <c r="F40" s="33">
        <f t="shared" si="4"/>
        <v>0</v>
      </c>
      <c r="G40" s="6"/>
      <c r="H40" s="6"/>
      <c r="I40" s="6"/>
      <c r="J40" s="6"/>
      <c r="K40" s="33">
        <f t="shared" si="5"/>
        <v>0</v>
      </c>
      <c r="L40" s="6"/>
      <c r="M40" s="6"/>
      <c r="N40" s="6"/>
      <c r="O40" s="6"/>
      <c r="P40" s="33">
        <f t="shared" si="6"/>
        <v>0</v>
      </c>
      <c r="Q40" s="8"/>
      <c r="R40" s="9"/>
      <c r="S40" s="9"/>
      <c r="T40" s="33">
        <f t="shared" si="7"/>
        <v>0</v>
      </c>
    </row>
    <row r="41" spans="1:20" ht="19.8" x14ac:dyDescent="0.3">
      <c r="A41" s="10">
        <v>36</v>
      </c>
      <c r="B41" s="19" t="str">
        <f>Inscritos!B39</f>
        <v xml:space="preserve">PLUTARCO DAVID SAENZ URANGO </v>
      </c>
      <c r="C41" s="19" t="str">
        <f>+Inscritos!D39</f>
        <v>1063358434</v>
      </c>
      <c r="D41" s="7"/>
      <c r="E41" s="7"/>
      <c r="F41" s="33">
        <f t="shared" si="4"/>
        <v>0</v>
      </c>
      <c r="G41" s="6"/>
      <c r="H41" s="6"/>
      <c r="I41" s="6"/>
      <c r="J41" s="6"/>
      <c r="K41" s="33">
        <f t="shared" si="5"/>
        <v>0</v>
      </c>
      <c r="L41" s="6"/>
      <c r="M41" s="6"/>
      <c r="N41" s="6"/>
      <c r="O41" s="6"/>
      <c r="P41" s="33">
        <f t="shared" si="6"/>
        <v>0</v>
      </c>
      <c r="Q41" s="8"/>
      <c r="R41" s="9"/>
      <c r="S41" s="9"/>
      <c r="T41" s="33">
        <f t="shared" si="7"/>
        <v>0</v>
      </c>
    </row>
    <row r="42" spans="1:20" ht="19.8" x14ac:dyDescent="0.3">
      <c r="A42" s="10">
        <v>37</v>
      </c>
      <c r="B42" s="19" t="str">
        <f>Inscritos!B40</f>
        <v xml:space="preserve">RAUL ESTEBAN MEJÍA ALDANA </v>
      </c>
      <c r="C42" s="19" t="str">
        <f>+Inscritos!D40</f>
        <v>1063359382</v>
      </c>
      <c r="D42" s="7"/>
      <c r="E42" s="7"/>
      <c r="F42" s="33">
        <f t="shared" si="4"/>
        <v>0</v>
      </c>
      <c r="G42" s="6"/>
      <c r="H42" s="6"/>
      <c r="I42" s="6"/>
      <c r="J42" s="6"/>
      <c r="K42" s="33">
        <f t="shared" si="5"/>
        <v>0</v>
      </c>
      <c r="L42" s="6"/>
      <c r="M42" s="6"/>
      <c r="N42" s="6"/>
      <c r="O42" s="6"/>
      <c r="P42" s="33">
        <f t="shared" si="6"/>
        <v>0</v>
      </c>
      <c r="Q42" s="8"/>
      <c r="R42" s="9"/>
      <c r="S42" s="9"/>
      <c r="T42" s="33">
        <f t="shared" si="7"/>
        <v>0</v>
      </c>
    </row>
    <row r="43" spans="1:20" ht="19.8" x14ac:dyDescent="0.3">
      <c r="A43" s="10">
        <v>38</v>
      </c>
      <c r="B43" s="19" t="str">
        <f>Inscritos!B41</f>
        <v xml:space="preserve">SANTIAGO ENRIQUE ROMERO RUIZ </v>
      </c>
      <c r="C43" s="19" t="str">
        <f>+Inscritos!D41</f>
        <v>1032255995</v>
      </c>
      <c r="D43" s="7"/>
      <c r="E43" s="7"/>
      <c r="F43" s="33">
        <f t="shared" si="4"/>
        <v>0</v>
      </c>
      <c r="G43" s="6"/>
      <c r="H43" s="6"/>
      <c r="I43" s="6"/>
      <c r="J43" s="6"/>
      <c r="K43" s="33">
        <f t="shared" si="5"/>
        <v>0</v>
      </c>
      <c r="L43" s="6"/>
      <c r="M43" s="6"/>
      <c r="N43" s="6"/>
      <c r="O43" s="6"/>
      <c r="P43" s="33">
        <f t="shared" si="6"/>
        <v>0</v>
      </c>
      <c r="Q43" s="8"/>
      <c r="R43" s="9"/>
      <c r="S43" s="9"/>
      <c r="T43" s="33">
        <f t="shared" si="7"/>
        <v>0</v>
      </c>
    </row>
    <row r="44" spans="1:20" ht="19.8" x14ac:dyDescent="0.3">
      <c r="A44" s="10">
        <v>39</v>
      </c>
      <c r="B44" s="19" t="str">
        <f>Inscritos!B42</f>
        <v xml:space="preserve">SANTIAGO JIMÉNEZ </v>
      </c>
      <c r="C44" s="19" t="str">
        <f>+Inscritos!D42</f>
        <v>1063291484</v>
      </c>
      <c r="D44" s="7"/>
      <c r="E44" s="7"/>
      <c r="F44" s="33">
        <f t="shared" si="4"/>
        <v>0</v>
      </c>
      <c r="G44" s="6"/>
      <c r="H44" s="6"/>
      <c r="I44" s="6"/>
      <c r="J44" s="6"/>
      <c r="K44" s="33">
        <f t="shared" si="5"/>
        <v>0</v>
      </c>
      <c r="L44" s="6"/>
      <c r="M44" s="6"/>
      <c r="N44" s="6"/>
      <c r="O44" s="6"/>
      <c r="P44" s="33">
        <f t="shared" si="6"/>
        <v>0</v>
      </c>
      <c r="Q44" s="8"/>
      <c r="R44" s="9"/>
      <c r="S44" s="9"/>
      <c r="T44" s="33">
        <f t="shared" si="7"/>
        <v>0</v>
      </c>
    </row>
    <row r="45" spans="1:20" ht="19.8" x14ac:dyDescent="0.3">
      <c r="A45" s="10">
        <v>40</v>
      </c>
      <c r="B45" s="19" t="str">
        <f>Inscritos!B43</f>
        <v xml:space="preserve">SARAY MARTINEZ HERNÁNDEZ </v>
      </c>
      <c r="C45" s="19" t="str">
        <f>+Inscritos!D43</f>
        <v>1063361204</v>
      </c>
      <c r="D45" s="7"/>
      <c r="E45" s="7"/>
      <c r="F45" s="33">
        <f t="shared" si="4"/>
        <v>0</v>
      </c>
      <c r="G45" s="6"/>
      <c r="H45" s="6"/>
      <c r="I45" s="6"/>
      <c r="J45" s="6"/>
      <c r="K45" s="33">
        <f t="shared" si="5"/>
        <v>0</v>
      </c>
      <c r="L45" s="6"/>
      <c r="M45" s="6"/>
      <c r="N45" s="6"/>
      <c r="O45" s="6"/>
      <c r="P45" s="33">
        <f t="shared" si="6"/>
        <v>0</v>
      </c>
      <c r="Q45" s="8"/>
      <c r="R45" s="9"/>
      <c r="S45" s="9"/>
      <c r="T45" s="33">
        <f t="shared" si="7"/>
        <v>0</v>
      </c>
    </row>
    <row r="46" spans="1:20" ht="19.8" x14ac:dyDescent="0.3">
      <c r="A46" s="10">
        <v>41</v>
      </c>
      <c r="B46" s="19" t="str">
        <f>Inscritos!B44</f>
        <v>SARITA TABARES DIAZ</v>
      </c>
      <c r="C46" s="19" t="str">
        <f>+Inscritos!D44</f>
        <v>1063788847</v>
      </c>
      <c r="D46" s="7"/>
      <c r="E46" s="7"/>
      <c r="F46" s="33">
        <f t="shared" si="4"/>
        <v>0</v>
      </c>
      <c r="G46" s="6"/>
      <c r="H46" s="6"/>
      <c r="I46" s="6"/>
      <c r="J46" s="6"/>
      <c r="K46" s="33">
        <f t="shared" si="5"/>
        <v>0</v>
      </c>
      <c r="L46" s="6"/>
      <c r="M46" s="6"/>
      <c r="N46" s="6"/>
      <c r="O46" s="6"/>
      <c r="P46" s="33">
        <f t="shared" si="6"/>
        <v>0</v>
      </c>
      <c r="Q46" s="8"/>
      <c r="R46" s="9"/>
      <c r="S46" s="9"/>
      <c r="T46" s="33">
        <f t="shared" si="7"/>
        <v>0</v>
      </c>
    </row>
    <row r="47" spans="1:20" ht="19.8" x14ac:dyDescent="0.3">
      <c r="A47" s="10">
        <v>42</v>
      </c>
      <c r="B47" s="19" t="str">
        <f>Inscritos!B45</f>
        <v xml:space="preserve">SIMÓN APARICIO CARRASCAL </v>
      </c>
      <c r="C47" s="19" t="str">
        <f>+Inscritos!D45</f>
        <v>1063290759</v>
      </c>
      <c r="D47" s="7"/>
      <c r="E47" s="7"/>
      <c r="F47" s="33">
        <f t="shared" si="4"/>
        <v>0</v>
      </c>
      <c r="G47" s="6"/>
      <c r="H47" s="6"/>
      <c r="I47" s="6"/>
      <c r="J47" s="6"/>
      <c r="K47" s="33">
        <f t="shared" si="5"/>
        <v>0</v>
      </c>
      <c r="L47" s="6"/>
      <c r="M47" s="6"/>
      <c r="N47" s="6"/>
      <c r="O47" s="6"/>
      <c r="P47" s="33">
        <f t="shared" si="6"/>
        <v>0</v>
      </c>
      <c r="Q47" s="8"/>
      <c r="R47" s="9"/>
      <c r="S47" s="9"/>
      <c r="T47" s="33">
        <f t="shared" si="7"/>
        <v>0</v>
      </c>
    </row>
    <row r="48" spans="1:20" ht="19.8" x14ac:dyDescent="0.3">
      <c r="A48" s="10">
        <v>43</v>
      </c>
      <c r="B48" s="19" t="str">
        <f>Inscritos!B46</f>
        <v xml:space="preserve">TRIANY VALENTINA IBARRA MARTÍNEZ </v>
      </c>
      <c r="C48" s="19" t="str">
        <f>+Inscritos!D46</f>
        <v>1063362241</v>
      </c>
      <c r="D48" s="7"/>
      <c r="E48" s="7"/>
      <c r="F48" s="33">
        <f t="shared" si="4"/>
        <v>0</v>
      </c>
      <c r="G48" s="6"/>
      <c r="H48" s="6"/>
      <c r="I48" s="6"/>
      <c r="J48" s="6"/>
      <c r="K48" s="33">
        <f t="shared" si="5"/>
        <v>0</v>
      </c>
      <c r="L48" s="6"/>
      <c r="M48" s="6"/>
      <c r="N48" s="6"/>
      <c r="O48" s="6"/>
      <c r="P48" s="33">
        <f t="shared" si="6"/>
        <v>0</v>
      </c>
      <c r="Q48" s="8"/>
      <c r="R48" s="9"/>
      <c r="S48" s="9"/>
      <c r="T48" s="33">
        <f t="shared" si="7"/>
        <v>0</v>
      </c>
    </row>
    <row r="49" spans="1:20" ht="19.8" x14ac:dyDescent="0.3">
      <c r="A49" s="10">
        <v>44</v>
      </c>
      <c r="B49" s="19" t="str">
        <f>Inscritos!B47</f>
        <v>VALENTINA RIVERA CALDERÓN</v>
      </c>
      <c r="C49" s="19" t="str">
        <f>+Inscritos!D47</f>
        <v>1063361627</v>
      </c>
      <c r="D49" s="7"/>
      <c r="E49" s="7"/>
      <c r="F49" s="33">
        <f t="shared" si="4"/>
        <v>0</v>
      </c>
      <c r="G49" s="6"/>
      <c r="H49" s="6"/>
      <c r="I49" s="6"/>
      <c r="J49" s="6"/>
      <c r="K49" s="33">
        <f t="shared" si="5"/>
        <v>0</v>
      </c>
      <c r="L49" s="6"/>
      <c r="M49" s="6"/>
      <c r="N49" s="6"/>
      <c r="O49" s="6"/>
      <c r="P49" s="33">
        <f t="shared" si="6"/>
        <v>0</v>
      </c>
      <c r="Q49" s="8"/>
      <c r="R49" s="9"/>
      <c r="S49" s="9"/>
      <c r="T49" s="33">
        <f t="shared" si="7"/>
        <v>0</v>
      </c>
    </row>
    <row r="50" spans="1:20" ht="19.8" x14ac:dyDescent="0.3">
      <c r="A50" s="10">
        <v>45</v>
      </c>
      <c r="B50" s="19" t="str">
        <f>Inscritos!B48</f>
        <v xml:space="preserve">YERLIS YULIETH AVILEZ ARRIETA </v>
      </c>
      <c r="C50" s="19" t="str">
        <f>+Inscritos!D48</f>
        <v>1063788235</v>
      </c>
      <c r="D50" s="7"/>
      <c r="E50" s="7"/>
      <c r="F50" s="33">
        <f t="shared" si="4"/>
        <v>0</v>
      </c>
      <c r="G50" s="6"/>
      <c r="H50" s="6"/>
      <c r="I50" s="6"/>
      <c r="J50" s="6"/>
      <c r="K50" s="33">
        <f t="shared" si="5"/>
        <v>0</v>
      </c>
      <c r="L50" s="6"/>
      <c r="M50" s="6"/>
      <c r="N50" s="6"/>
      <c r="O50" s="6"/>
      <c r="P50" s="33">
        <f t="shared" si="6"/>
        <v>0</v>
      </c>
      <c r="Q50" s="8"/>
      <c r="R50" s="9"/>
      <c r="S50" s="9"/>
      <c r="T50" s="33">
        <f t="shared" si="7"/>
        <v>0</v>
      </c>
    </row>
    <row r="51" spans="1:20" ht="27.6" x14ac:dyDescent="0.3">
      <c r="A51" s="10">
        <v>46</v>
      </c>
      <c r="B51" s="19" t="str">
        <f>Inscritos!B49</f>
        <v xml:space="preserve">YOHEMIS DEL CARMEN VILLADIEGO VILLALVA </v>
      </c>
      <c r="C51" s="19" t="str">
        <f>+Inscritos!D49</f>
        <v>1063361151</v>
      </c>
      <c r="D51" s="7"/>
      <c r="E51" s="7"/>
      <c r="F51" s="33">
        <f t="shared" si="4"/>
        <v>0</v>
      </c>
      <c r="G51" s="6"/>
      <c r="H51" s="6"/>
      <c r="I51" s="6"/>
      <c r="J51" s="6"/>
      <c r="K51" s="33">
        <f t="shared" si="5"/>
        <v>0</v>
      </c>
      <c r="L51" s="6"/>
      <c r="M51" s="6"/>
      <c r="N51" s="6"/>
      <c r="O51" s="6"/>
      <c r="P51" s="33">
        <f t="shared" si="6"/>
        <v>0</v>
      </c>
      <c r="Q51" s="8"/>
      <c r="R51" s="9"/>
      <c r="S51" s="9"/>
      <c r="T51" s="33">
        <f t="shared" si="7"/>
        <v>0</v>
      </c>
    </row>
    <row r="52" spans="1:20" ht="19.8" x14ac:dyDescent="0.3">
      <c r="A52" s="10">
        <v>47</v>
      </c>
      <c r="B52" s="19" t="str">
        <f>Inscritos!B50</f>
        <v xml:space="preserve">YULEIDYS MARÍA DÍAZ PASTRANA </v>
      </c>
      <c r="C52" s="19" t="str">
        <f>+Inscritos!D50</f>
        <v>1063361698</v>
      </c>
      <c r="D52" s="7"/>
      <c r="E52" s="7"/>
      <c r="F52" s="33">
        <f t="shared" si="4"/>
        <v>0</v>
      </c>
      <c r="G52" s="6"/>
      <c r="H52" s="6"/>
      <c r="I52" s="6"/>
      <c r="J52" s="6"/>
      <c r="K52" s="33">
        <f t="shared" si="5"/>
        <v>0</v>
      </c>
      <c r="L52" s="6"/>
      <c r="M52" s="6"/>
      <c r="N52" s="6"/>
      <c r="O52" s="6"/>
      <c r="P52" s="33">
        <f t="shared" si="6"/>
        <v>0</v>
      </c>
      <c r="Q52" s="8"/>
      <c r="R52" s="9"/>
      <c r="S52" s="9"/>
      <c r="T52" s="33">
        <f t="shared" si="7"/>
        <v>0</v>
      </c>
    </row>
    <row r="53" spans="1:20" ht="19.8" x14ac:dyDescent="0.3">
      <c r="A53" s="10">
        <v>48</v>
      </c>
      <c r="B53" s="19" t="str">
        <f>Inscritos!B51</f>
        <v xml:space="preserve">YURANIS MILETH ARROYO COAVA </v>
      </c>
      <c r="C53" s="19" t="str">
        <f>+Inscritos!D51</f>
        <v>1063789809</v>
      </c>
      <c r="D53" s="7"/>
      <c r="E53" s="7"/>
      <c r="F53" s="33">
        <f t="shared" si="4"/>
        <v>0</v>
      </c>
      <c r="G53" s="6"/>
      <c r="H53" s="6"/>
      <c r="I53" s="6"/>
      <c r="J53" s="6"/>
      <c r="K53" s="33">
        <f t="shared" si="5"/>
        <v>0</v>
      </c>
      <c r="L53" s="6"/>
      <c r="M53" s="6"/>
      <c r="N53" s="6"/>
      <c r="O53" s="6"/>
      <c r="P53" s="33">
        <f t="shared" si="6"/>
        <v>0</v>
      </c>
      <c r="Q53" s="8"/>
      <c r="R53" s="9"/>
      <c r="S53" s="9"/>
      <c r="T53" s="33">
        <f t="shared" si="7"/>
        <v>0</v>
      </c>
    </row>
    <row r="54" spans="1:20" ht="19.8" x14ac:dyDescent="0.3">
      <c r="A54" s="10">
        <v>49</v>
      </c>
      <c r="B54" s="19" t="str">
        <f>Inscritos!B52</f>
        <v>ZAIRO MANCHEGO RIOS</v>
      </c>
      <c r="C54" s="19" t="str">
        <f>+Inscritos!D52</f>
        <v>1063789290</v>
      </c>
      <c r="D54" s="7"/>
      <c r="E54" s="7"/>
      <c r="F54" s="33">
        <f t="shared" si="4"/>
        <v>0</v>
      </c>
      <c r="G54" s="6"/>
      <c r="H54" s="6"/>
      <c r="I54" s="6"/>
      <c r="J54" s="6"/>
      <c r="K54" s="33">
        <f t="shared" si="5"/>
        <v>0</v>
      </c>
      <c r="L54" s="6"/>
      <c r="M54" s="6"/>
      <c r="N54" s="6"/>
      <c r="O54" s="6"/>
      <c r="P54" s="33">
        <f t="shared" si="6"/>
        <v>0</v>
      </c>
      <c r="Q54" s="8"/>
      <c r="R54" s="9"/>
      <c r="S54" s="9"/>
      <c r="T54" s="33">
        <f t="shared" si="7"/>
        <v>0</v>
      </c>
    </row>
    <row r="55" spans="1:20" ht="19.8" x14ac:dyDescent="0.3">
      <c r="A55" s="10">
        <v>50</v>
      </c>
      <c r="B55" s="19">
        <f>Inscritos!B53</f>
        <v>0</v>
      </c>
      <c r="C55" s="19">
        <f>+Inscritos!D53</f>
        <v>0</v>
      </c>
      <c r="D55" s="7"/>
      <c r="E55" s="7"/>
      <c r="F55" s="33">
        <f t="shared" si="4"/>
        <v>0</v>
      </c>
      <c r="G55" s="6"/>
      <c r="H55" s="6"/>
      <c r="I55" s="6"/>
      <c r="J55" s="6"/>
      <c r="K55" s="33">
        <f t="shared" si="5"/>
        <v>0</v>
      </c>
      <c r="L55" s="6"/>
      <c r="M55" s="6"/>
      <c r="N55" s="6"/>
      <c r="O55" s="6"/>
      <c r="P55" s="33">
        <f t="shared" si="6"/>
        <v>0</v>
      </c>
      <c r="Q55" s="8"/>
      <c r="R55" s="9"/>
      <c r="S55" s="9"/>
      <c r="T55" s="33">
        <f t="shared" si="7"/>
        <v>0</v>
      </c>
    </row>
    <row r="56" spans="1:20" ht="19.8" x14ac:dyDescent="0.3">
      <c r="A56" s="10">
        <v>51</v>
      </c>
      <c r="B56" s="19">
        <f>Inscritos!B53</f>
        <v>0</v>
      </c>
      <c r="C56" s="19">
        <f>+Inscritos!D54</f>
        <v>0</v>
      </c>
      <c r="D56" s="7"/>
      <c r="E56" s="7"/>
      <c r="F56" s="33">
        <f t="shared" si="4"/>
        <v>0</v>
      </c>
      <c r="G56" s="6"/>
      <c r="H56" s="6"/>
      <c r="I56" s="6"/>
      <c r="J56" s="6"/>
      <c r="K56" s="33">
        <f t="shared" si="5"/>
        <v>0</v>
      </c>
      <c r="L56" s="6"/>
      <c r="M56" s="6"/>
      <c r="N56" s="6"/>
      <c r="O56" s="6"/>
      <c r="P56" s="33">
        <f t="shared" si="6"/>
        <v>0</v>
      </c>
      <c r="Q56" s="8"/>
      <c r="R56" s="9"/>
      <c r="S56" s="9"/>
      <c r="T56" s="33">
        <f t="shared" si="7"/>
        <v>0</v>
      </c>
    </row>
    <row r="57" spans="1:20" ht="19.8" x14ac:dyDescent="0.3">
      <c r="A57" s="10">
        <v>52</v>
      </c>
      <c r="B57" s="19">
        <f>Inscritos!B54</f>
        <v>0</v>
      </c>
      <c r="C57" s="19">
        <f>+Inscritos!D54</f>
        <v>0</v>
      </c>
      <c r="D57" s="7"/>
      <c r="E57" s="7"/>
      <c r="F57" s="33">
        <f t="shared" si="4"/>
        <v>0</v>
      </c>
      <c r="G57" s="6"/>
      <c r="H57" s="6"/>
      <c r="I57" s="6"/>
      <c r="J57" s="6"/>
      <c r="K57" s="33">
        <f t="shared" si="5"/>
        <v>0</v>
      </c>
      <c r="L57" s="6"/>
      <c r="M57" s="6"/>
      <c r="N57" s="6"/>
      <c r="O57" s="6"/>
      <c r="P57" s="33">
        <f t="shared" si="6"/>
        <v>0</v>
      </c>
      <c r="Q57" s="8"/>
      <c r="R57" s="9"/>
      <c r="S57" s="9"/>
      <c r="T57" s="33">
        <f t="shared" si="7"/>
        <v>0</v>
      </c>
    </row>
    <row r="58" spans="1:20" ht="19.8" x14ac:dyDescent="0.3">
      <c r="A58" s="10">
        <v>53</v>
      </c>
      <c r="B58" s="19">
        <f>Inscritos!B55</f>
        <v>0</v>
      </c>
      <c r="C58" s="19">
        <f>+Inscritos!D55</f>
        <v>0</v>
      </c>
      <c r="D58" s="7"/>
      <c r="E58" s="7"/>
      <c r="F58" s="33">
        <f t="shared" si="4"/>
        <v>0</v>
      </c>
      <c r="G58" s="6"/>
      <c r="H58" s="6"/>
      <c r="I58" s="6"/>
      <c r="J58" s="6"/>
      <c r="K58" s="33">
        <f t="shared" si="5"/>
        <v>0</v>
      </c>
      <c r="L58" s="6"/>
      <c r="M58" s="6"/>
      <c r="N58" s="6"/>
      <c r="O58" s="6"/>
      <c r="P58" s="33">
        <f t="shared" si="6"/>
        <v>0</v>
      </c>
      <c r="Q58" s="8"/>
      <c r="R58" s="9"/>
      <c r="S58" s="9"/>
      <c r="T58" s="33">
        <f t="shared" si="7"/>
        <v>0</v>
      </c>
    </row>
    <row r="59" spans="1:20" ht="19.8" x14ac:dyDescent="0.3">
      <c r="A59" s="10">
        <v>54</v>
      </c>
      <c r="B59" s="19">
        <f>Inscritos!B56</f>
        <v>0</v>
      </c>
      <c r="C59" s="19">
        <f>+Inscritos!D56</f>
        <v>0</v>
      </c>
      <c r="D59" s="7"/>
      <c r="E59" s="7"/>
      <c r="F59" s="33">
        <f t="shared" si="4"/>
        <v>0</v>
      </c>
      <c r="G59" s="6"/>
      <c r="H59" s="6"/>
      <c r="I59" s="6"/>
      <c r="J59" s="6"/>
      <c r="K59" s="33">
        <f t="shared" si="5"/>
        <v>0</v>
      </c>
      <c r="L59" s="6"/>
      <c r="M59" s="6"/>
      <c r="N59" s="6"/>
      <c r="O59" s="6"/>
      <c r="P59" s="33">
        <f t="shared" si="6"/>
        <v>0</v>
      </c>
      <c r="Q59" s="8"/>
      <c r="R59" s="9"/>
      <c r="S59" s="9"/>
      <c r="T59" s="33">
        <f t="shared" si="7"/>
        <v>0</v>
      </c>
    </row>
    <row r="60" spans="1:20" ht="19.8" x14ac:dyDescent="0.3">
      <c r="A60" s="10">
        <v>55</v>
      </c>
      <c r="B60" s="19">
        <f>Inscritos!B57</f>
        <v>0</v>
      </c>
      <c r="C60" s="19">
        <f>+Inscritos!D57</f>
        <v>0</v>
      </c>
      <c r="D60" s="7"/>
      <c r="E60" s="7"/>
      <c r="F60" s="33">
        <f t="shared" si="4"/>
        <v>0</v>
      </c>
      <c r="G60" s="6"/>
      <c r="H60" s="6"/>
      <c r="I60" s="6"/>
      <c r="J60" s="6"/>
      <c r="K60" s="33">
        <f t="shared" si="5"/>
        <v>0</v>
      </c>
      <c r="L60" s="6"/>
      <c r="M60" s="6"/>
      <c r="N60" s="6"/>
      <c r="O60" s="6"/>
      <c r="P60" s="33">
        <f t="shared" si="6"/>
        <v>0</v>
      </c>
      <c r="Q60" s="8"/>
      <c r="R60" s="9"/>
      <c r="S60" s="9"/>
      <c r="T60" s="33">
        <f t="shared" si="7"/>
        <v>0</v>
      </c>
    </row>
    <row r="61" spans="1:20" ht="19.8" x14ac:dyDescent="0.3">
      <c r="A61" s="10">
        <v>56</v>
      </c>
      <c r="B61" s="19">
        <f>Inscritos!B58</f>
        <v>0</v>
      </c>
      <c r="C61" s="19">
        <f>+Inscritos!D58</f>
        <v>0</v>
      </c>
      <c r="D61" s="7"/>
      <c r="E61" s="7"/>
      <c r="F61" s="33">
        <f t="shared" si="4"/>
        <v>0</v>
      </c>
      <c r="G61" s="6"/>
      <c r="H61" s="6"/>
      <c r="I61" s="6"/>
      <c r="J61" s="6"/>
      <c r="K61" s="33">
        <f t="shared" si="5"/>
        <v>0</v>
      </c>
      <c r="L61" s="6"/>
      <c r="M61" s="6"/>
      <c r="N61" s="6"/>
      <c r="O61" s="6"/>
      <c r="P61" s="33">
        <f t="shared" si="6"/>
        <v>0</v>
      </c>
      <c r="Q61" s="8"/>
      <c r="R61" s="9"/>
      <c r="S61" s="9"/>
      <c r="T61" s="33">
        <f t="shared" si="7"/>
        <v>0</v>
      </c>
    </row>
    <row r="62" spans="1:20" ht="19.8" x14ac:dyDescent="0.3">
      <c r="A62" s="10">
        <v>57</v>
      </c>
      <c r="B62" s="19">
        <f>Inscritos!B59</f>
        <v>0</v>
      </c>
      <c r="C62" s="19">
        <f>+Inscritos!D59</f>
        <v>0</v>
      </c>
      <c r="D62" s="7"/>
      <c r="E62" s="7"/>
      <c r="F62" s="33">
        <f t="shared" si="4"/>
        <v>0</v>
      </c>
      <c r="G62" s="6"/>
      <c r="H62" s="6"/>
      <c r="I62" s="6"/>
      <c r="J62" s="6"/>
      <c r="K62" s="33">
        <f t="shared" si="5"/>
        <v>0</v>
      </c>
      <c r="L62" s="6"/>
      <c r="M62" s="6"/>
      <c r="N62" s="6"/>
      <c r="O62" s="6"/>
      <c r="P62" s="33">
        <f t="shared" si="6"/>
        <v>0</v>
      </c>
      <c r="Q62" s="8"/>
      <c r="R62" s="9"/>
      <c r="S62" s="9"/>
      <c r="T62" s="33">
        <f t="shared" si="7"/>
        <v>0</v>
      </c>
    </row>
    <row r="63" spans="1:20" ht="19.8" x14ac:dyDescent="0.3">
      <c r="A63" s="10">
        <v>58</v>
      </c>
      <c r="B63" s="19">
        <f>Inscritos!B60</f>
        <v>0</v>
      </c>
      <c r="C63" s="19">
        <f>+Inscritos!D60</f>
        <v>0</v>
      </c>
      <c r="D63" s="7"/>
      <c r="E63" s="7"/>
      <c r="F63" s="33">
        <f t="shared" si="4"/>
        <v>0</v>
      </c>
      <c r="G63" s="6"/>
      <c r="H63" s="6"/>
      <c r="I63" s="6"/>
      <c r="J63" s="6"/>
      <c r="K63" s="33">
        <f t="shared" si="5"/>
        <v>0</v>
      </c>
      <c r="L63" s="6"/>
      <c r="M63" s="6"/>
      <c r="N63" s="6"/>
      <c r="O63" s="6"/>
      <c r="P63" s="33">
        <f t="shared" si="6"/>
        <v>0</v>
      </c>
      <c r="Q63" s="8"/>
      <c r="R63" s="9"/>
      <c r="S63" s="9"/>
      <c r="T63" s="33">
        <f t="shared" si="7"/>
        <v>0</v>
      </c>
    </row>
    <row r="64" spans="1:20" ht="20.399999999999999" thickBot="1" x14ac:dyDescent="0.35">
      <c r="A64" s="10">
        <v>59</v>
      </c>
      <c r="B64" s="19">
        <f>Inscritos!B61</f>
        <v>0</v>
      </c>
      <c r="C64" s="19">
        <f>+Inscritos!D61</f>
        <v>0</v>
      </c>
      <c r="D64" s="7"/>
      <c r="E64" s="7"/>
      <c r="F64" s="33">
        <f t="shared" si="4"/>
        <v>0</v>
      </c>
      <c r="G64" s="6"/>
      <c r="H64" s="6"/>
      <c r="I64" s="6"/>
      <c r="J64" s="6"/>
      <c r="K64" s="33">
        <f t="shared" si="5"/>
        <v>0</v>
      </c>
      <c r="L64" s="6"/>
      <c r="M64" s="6"/>
      <c r="N64" s="6"/>
      <c r="O64" s="6"/>
      <c r="P64" s="33">
        <f t="shared" si="6"/>
        <v>0</v>
      </c>
      <c r="Q64" s="8"/>
      <c r="R64" s="9"/>
      <c r="S64" s="9"/>
      <c r="T64" s="33">
        <f t="shared" si="7"/>
        <v>0</v>
      </c>
    </row>
    <row r="65" spans="4:19" ht="15" customHeight="1" x14ac:dyDescent="0.3">
      <c r="D65" s="122" t="s">
        <v>26</v>
      </c>
      <c r="E65" s="125" t="s">
        <v>12</v>
      </c>
      <c r="G65" s="119" t="s">
        <v>8</v>
      </c>
      <c r="H65" s="131" t="s">
        <v>9</v>
      </c>
      <c r="I65" s="131" t="s">
        <v>10</v>
      </c>
      <c r="J65" s="119" t="s">
        <v>11</v>
      </c>
      <c r="L65" s="101" t="s">
        <v>8</v>
      </c>
      <c r="M65" s="128" t="s">
        <v>9</v>
      </c>
      <c r="N65" s="128" t="s">
        <v>10</v>
      </c>
      <c r="O65" s="101" t="s">
        <v>11</v>
      </c>
      <c r="Q65" s="134" t="s">
        <v>26</v>
      </c>
      <c r="R65" s="134" t="s">
        <v>4</v>
      </c>
      <c r="S65" s="134" t="s">
        <v>5</v>
      </c>
    </row>
    <row r="66" spans="4:19" x14ac:dyDescent="0.3">
      <c r="D66" s="123"/>
      <c r="E66" s="126"/>
      <c r="G66" s="120"/>
      <c r="H66" s="132"/>
      <c r="I66" s="132"/>
      <c r="J66" s="120"/>
      <c r="L66" s="102"/>
      <c r="M66" s="129"/>
      <c r="N66" s="129"/>
      <c r="O66" s="102"/>
      <c r="Q66" s="135"/>
      <c r="R66" s="135"/>
      <c r="S66" s="135"/>
    </row>
    <row r="67" spans="4:19" x14ac:dyDescent="0.3">
      <c r="D67" s="123"/>
      <c r="E67" s="126"/>
      <c r="G67" s="120"/>
      <c r="H67" s="132"/>
      <c r="I67" s="132"/>
      <c r="J67" s="120"/>
      <c r="L67" s="102"/>
      <c r="M67" s="129"/>
      <c r="N67" s="129"/>
      <c r="O67" s="102"/>
      <c r="Q67" s="135"/>
      <c r="R67" s="135"/>
      <c r="S67" s="135"/>
    </row>
    <row r="68" spans="4:19" x14ac:dyDescent="0.3">
      <c r="D68" s="123"/>
      <c r="E68" s="126"/>
      <c r="G68" s="120"/>
      <c r="H68" s="132"/>
      <c r="I68" s="132"/>
      <c r="J68" s="120"/>
      <c r="L68" s="102"/>
      <c r="M68" s="129"/>
      <c r="N68" s="129"/>
      <c r="O68" s="102"/>
      <c r="Q68" s="135"/>
      <c r="R68" s="135"/>
      <c r="S68" s="135"/>
    </row>
    <row r="69" spans="4:19" x14ac:dyDescent="0.3">
      <c r="D69" s="123"/>
      <c r="E69" s="126"/>
      <c r="G69" s="120"/>
      <c r="H69" s="132"/>
      <c r="I69" s="132"/>
      <c r="J69" s="120"/>
      <c r="L69" s="102"/>
      <c r="M69" s="129"/>
      <c r="N69" s="129"/>
      <c r="O69" s="102"/>
      <c r="Q69" s="135"/>
      <c r="R69" s="135"/>
      <c r="S69" s="135"/>
    </row>
    <row r="70" spans="4:19" x14ac:dyDescent="0.3">
      <c r="D70" s="123"/>
      <c r="E70" s="126"/>
      <c r="G70" s="120"/>
      <c r="H70" s="132"/>
      <c r="I70" s="132"/>
      <c r="J70" s="120"/>
      <c r="L70" s="102"/>
      <c r="M70" s="129"/>
      <c r="N70" s="129"/>
      <c r="O70" s="102"/>
      <c r="Q70" s="135"/>
      <c r="R70" s="135"/>
      <c r="S70" s="135"/>
    </row>
    <row r="71" spans="4:19" x14ac:dyDescent="0.3">
      <c r="D71" s="123"/>
      <c r="E71" s="126"/>
      <c r="G71" s="120"/>
      <c r="H71" s="132"/>
      <c r="I71" s="132"/>
      <c r="J71" s="120"/>
      <c r="L71" s="102"/>
      <c r="M71" s="129"/>
      <c r="N71" s="129"/>
      <c r="O71" s="102"/>
      <c r="Q71" s="135"/>
      <c r="R71" s="135"/>
      <c r="S71" s="135"/>
    </row>
    <row r="72" spans="4:19" x14ac:dyDescent="0.3">
      <c r="D72" s="123"/>
      <c r="E72" s="126"/>
      <c r="G72" s="120"/>
      <c r="H72" s="132"/>
      <c r="I72" s="132"/>
      <c r="J72" s="120"/>
      <c r="L72" s="102"/>
      <c r="M72" s="129"/>
      <c r="N72" s="129"/>
      <c r="O72" s="102"/>
      <c r="Q72" s="135"/>
      <c r="R72" s="135"/>
      <c r="S72" s="135"/>
    </row>
    <row r="73" spans="4:19" x14ac:dyDescent="0.3">
      <c r="D73" s="123"/>
      <c r="E73" s="126"/>
      <c r="G73" s="120"/>
      <c r="H73" s="132"/>
      <c r="I73" s="132"/>
      <c r="J73" s="120"/>
      <c r="L73" s="102"/>
      <c r="M73" s="129"/>
      <c r="N73" s="129"/>
      <c r="O73" s="102"/>
      <c r="Q73" s="135"/>
      <c r="R73" s="135"/>
      <c r="S73" s="135"/>
    </row>
    <row r="74" spans="4:19" ht="15" thickBot="1" x14ac:dyDescent="0.35">
      <c r="D74" s="124"/>
      <c r="E74" s="127"/>
      <c r="G74" s="121"/>
      <c r="H74" s="133"/>
      <c r="I74" s="133"/>
      <c r="J74" s="121"/>
      <c r="L74" s="103"/>
      <c r="M74" s="130"/>
      <c r="N74" s="130"/>
      <c r="O74" s="103"/>
      <c r="Q74" s="136"/>
      <c r="R74" s="136"/>
      <c r="S74" s="136"/>
    </row>
  </sheetData>
  <mergeCells count="25">
    <mergeCell ref="B1:T1"/>
    <mergeCell ref="J65:J74"/>
    <mergeCell ref="D65:D74"/>
    <mergeCell ref="E65:E74"/>
    <mergeCell ref="L65:L74"/>
    <mergeCell ref="M65:M74"/>
    <mergeCell ref="N65:N74"/>
    <mergeCell ref="G65:G74"/>
    <mergeCell ref="H65:H74"/>
    <mergeCell ref="Q65:Q74"/>
    <mergeCell ref="R65:R74"/>
    <mergeCell ref="S65:S74"/>
    <mergeCell ref="L3:P4"/>
    <mergeCell ref="I65:I74"/>
    <mergeCell ref="Q2:T2"/>
    <mergeCell ref="L2:P2"/>
    <mergeCell ref="G2:K2"/>
    <mergeCell ref="D2:F2"/>
    <mergeCell ref="Q3:T4"/>
    <mergeCell ref="O65:O74"/>
    <mergeCell ref="A2:A5"/>
    <mergeCell ref="G3:K4"/>
    <mergeCell ref="D3:F4"/>
    <mergeCell ref="B2:B5"/>
    <mergeCell ref="C2:C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Inscritos</vt:lpstr>
      <vt:lpstr>Asistencia</vt:lpstr>
      <vt:lpstr>Notas</vt:lpstr>
      <vt:lpstr>Inscritos!Títulos_a_imprimir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Zapata</dc:creator>
  <cp:lastModifiedBy>MARCO JULIO CANAS CAMPILLO</cp:lastModifiedBy>
  <cp:lastPrinted>2020-02-17T22:00:36Z</cp:lastPrinted>
  <dcterms:created xsi:type="dcterms:W3CDTF">2012-03-16T03:24:58Z</dcterms:created>
  <dcterms:modified xsi:type="dcterms:W3CDTF">2026-05-09T18:50:21Z</dcterms:modified>
</cp:coreProperties>
</file>