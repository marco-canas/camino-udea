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AACEE989-BB64-45A9-B5A8-6795D148C7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P55" i="1"/>
  <c r="Y55" i="1"/>
  <c r="AD55" i="1"/>
  <c r="P56" i="1"/>
  <c r="Y56" i="1"/>
  <c r="AD56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<sst xmlns="http://schemas.openxmlformats.org/spreadsheetml/2006/main" count="394" uniqueCount="251">
  <si>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</si>
  <si>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</si>
  <si>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</si>
  <si>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</si>
  <si>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</si>
  <si>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</si>
  <si>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</si>
  <si>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</si>
  <si>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</si>
  <si>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</si>
  <si>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</si>
  <si>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</si>
  <si>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</si>
  <si>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</si>
  <si>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</si>
  <si>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</si>
  <si>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</si>
  <si>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</si>
  <si>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</si>
  <si>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</si>
  <si>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</si>
  <si>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</si>
  <si>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</si>
  <si>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</si>
  <si>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</si>
  <si>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</si>
  <si>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</si>
  <si>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</si>
  <si>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</si>
  <si>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</si>
  <si>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</si>
  <si>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</si>
  <si>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</si>
  <si>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</si>
  <si>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</si>
  <si>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</si>
  <si>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</si>
  <si>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</si>
  <si>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</si>
  <si>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</si>
  <si>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</si>
  <si>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</si>
  <si>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</si>
  <si>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</si>
  <si>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</si>
  <si>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</si>
  <si>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</si>
  <si>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</si>
  <si>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</si>
  <si>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</si>
  <si>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</si>
  <si>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</si>
  <si>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</si>
  <si>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</si>
  <si>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</si>
  <si>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</si>
  <si>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</si>
  <si>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</si>
  <si>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</si>
  <si>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</si>
  <si>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</si>
  <si>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</si>
  <si>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</si>
  <si>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</si>
  <si>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</si>
  <si>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</si>
  <si>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</si>
  <si>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</si>
  <si>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</si>
  <si>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</si>
  <si>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</si>
  <si>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</si>
  <si>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</si>
  <si>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</si>
  <si>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</si>
  <si>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</si>
  <si>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</si>
  <si>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</si>
  <si>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</si>
  <si>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</si>
  <si>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</si>
  <si>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</si>
  <si>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</si>
  <si>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</si>
  <si>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</si>
  <si>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</si>
  <si>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</si>
  <si>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</si>
  <si>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</si>
  <si>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</si>
  <si>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</si>
  <si>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</si>
  <si>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</si>
  <si>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</si>
  <si>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</si>
  <si>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</si>
  <si>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</si>
  <si>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</si>
  <si>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</si>
  <si>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</si>
  <si>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</si>
  <si>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</si>
  <si>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</si>
  <si>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</si>
  <si>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</si>
  <si>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</si>
  <si>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</si>
  <si>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</si>
  <si>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</si>
  <si>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</si>
  <si>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</si>
  <si>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</si>
  <si>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</si>
  <si>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</si>
  <si>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</si>
  <si>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</si>
  <si>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</si>
  <si>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</si>
  <si>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</si>
  <si>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</si>
  <si>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</si>
  <si>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</si>
  <si>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</si>
  <si>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</si>
  <si>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</si>
  <si>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</si>
  <si>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</si>
  <si>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</si>
  <si>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</si>
  <si>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</si>
  <si>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</si>
  <si>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</si>
  <si>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</si>
  <si>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</si>
  <si>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</si>
  <si>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</si>
  <si>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</si>
  <si>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</si>
  <si>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</si>
  <si>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</si>
  <si>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</si>
  <si>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</si>
  <si>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</si>
  <si>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</si>
  <si>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</si>
  <si>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</si>
  <si>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</si>
  <si>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</si>
  <si>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</si>
  <si>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</si>
  <si>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</si>
  <si>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</si>
  <si>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</si>
  <si>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</si>
  <si>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</si>
  <si>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</si>
  <si>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</si>
  <si>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</si>
  <si>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</si>
  <si>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</si>
  <si>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</si>
  <si>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</si>
  <si>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</si>
  <si>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</si>
  <si>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</si>
  <si>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</si>
  <si>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</si>
  <si>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</si>
  <si>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</si>
  <si>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</si>
  <si>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</si>
  <si>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</si>
  <si>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</si>
  <si>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</si>
  <si>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</si>
  <si>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</si>
  <si>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</si>
  <si>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</si>
  <si>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</si>
  <si>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</si>
  <si>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</si>
  <si>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</si>
  <si>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</si>
  <si>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</si>
  <si>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</si>
  <si>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</si>
  <si>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</si>
  <si>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</si>
  <si>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</si>
  <si>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</si>
  <si>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</si>
  <si>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</si>
  <si>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</si>
  <si>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</si>
  <si>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</si>
  <si>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</si>
  <si>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</si>
  <si>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</si>
  <si>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</si>
  <si>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</si>
  <si>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</si>
  <si>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</si>
  <si>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</si>
  <si>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</si>
  <si>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</si>
  <si>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</si>
  <si>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</si>
  <si>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</si>
  <si>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</si>
  <si>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</si>
  <si>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</si>
  <si>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</si>
  <si>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</si>
  <si>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</si>
  <si>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</si>
  <si>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</si>
  <si>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</si>
  <si>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</si>
  <si>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</si>
  <si>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</si>
  <si>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</si>
  <si>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</si>
  <si>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</si>
  <si>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</si>
  <si>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</si>
  <si>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</si>
  <si>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</si>
  <si>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</si>
  <si>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</si>
  <si>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</si>
  <si>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</si>
  <si>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</si>
  <si>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</si>
  <si>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</si>
  <si>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</si>
  <si>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</si>
  <si>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</si>
  <si>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</si>
  <si>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</si>
  <si>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</si>
  <si>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 xml:space="preserve">Dairo jose Montiel Muñoz </t>
  </si>
  <si>
    <t>cc</t>
  </si>
  <si>
    <t xml:space="preserve">El porvenir </t>
  </si>
  <si>
    <t xml:space="preserve">momtieldairo@gmail.com </t>
  </si>
  <si>
    <t>mariaisabelquiñoneshernandez@gmail.com</t>
  </si>
  <si>
    <t>VERONICAARRIETA297@GMAIL.COM</t>
  </si>
  <si>
    <t>DUBERNEYJARAMILLO09@GMAIL.COM</t>
  </si>
  <si>
    <t>tuirancuitivak@gmail.com</t>
  </si>
  <si>
    <t>6 de junio</t>
  </si>
  <si>
    <t>13 de junio</t>
  </si>
  <si>
    <t>elkinq719@gmail.com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</si>
</sst>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24" fillId="12" borderId="1" xfId="3" applyFill="1" applyBorder="1"/>
    <xf numFmtId="0" fontId="24" fillId="0" borderId="1" xfId="3" applyBorder="1" applyAlignment="1">
      <alignment horizontal="left" vertical="center"/>
    </xf>
    <xf numFmtId="0" fontId="18" fillId="6" borderId="1" xfId="0" applyFont="1" applyFill="1" applyBorder="1" applyAlignment="1">
      <alignment horizontal="justify" vertical="center"/>
    </xf>
    <xf numFmtId="0" fontId="13" fillId="6" borderId="1" xfId="0" applyFont="1" applyFill="1" applyBorder="1" applyAlignment="1">
      <alignment horizontal="justify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uirancuitivak@gmail.com" TargetMode="External"/><Relationship Id="rId3" Type="http://schemas.openxmlformats.org/officeDocument/2006/relationships/hyperlink" Target="mailto:SOFIASAGA36@GMaIL.COM" TargetMode="External"/><Relationship Id="rId7" Type="http://schemas.openxmlformats.org/officeDocument/2006/relationships/hyperlink" Target="mailto:DUBERNEYJARAMILLO09@GMAIL.COM" TargetMode="External"/><Relationship Id="rId2" Type="http://schemas.openxmlformats.org/officeDocument/2006/relationships/hyperlink" Target="mailto:elkinq719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hyperlink" Target="mailto:VERONICAARRIETA297@GMAIL.COM" TargetMode="External"/><Relationship Id="rId5" Type="http://schemas.openxmlformats.org/officeDocument/2006/relationships/hyperlink" Target="mailto:mariaisabelqui&#241;oneshernandez@g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omtieldairo@gmail.com%20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C14" zoomScale="140" zoomScaleNormal="140" workbookViewId="0">
      <selection activeCell="G18" sqref="G18"/>
    </sheetView>
  </sheetViews>
  <sheetFormatPr baseColWidth="10" defaultRowHeight="14.4" x14ac:dyDescent="0.3"/>
  <cols>
    <col min="1" max="1" width="4.33203125" bestFit="1" customWidth="1"/>
    <col min="2" max="2" width="34.33203125" style="17" customWidth="1"/>
    <col min="3" max="3" width="9.44140625" style="11" bestFit="1" customWidth="1"/>
    <col min="4" max="4" width="14.88671875" style="49" bestFit="1" customWidth="1"/>
    <col min="5" max="5" width="19.5546875" style="17" customWidth="1"/>
    <col min="6" max="6" width="12.88671875" customWidth="1"/>
    <col min="7" max="7" width="49.88671875" style="17" bestFit="1" customWidth="1"/>
    <col min="8" max="8" width="24.6640625" bestFit="1" customWidth="1"/>
  </cols>
  <sheetData>
    <row r="1" spans="1:8" ht="72" customHeight="1" x14ac:dyDescent="0.3">
      <c r="A1" s="65" t="s">
        <v>25</v>
      </c>
      <c r="B1" s="66"/>
      <c r="C1" s="66"/>
      <c r="D1" s="66"/>
      <c r="E1" s="66"/>
      <c r="F1" s="66"/>
      <c r="G1" s="66"/>
      <c r="H1" s="67"/>
    </row>
    <row r="2" spans="1:8" ht="19.8" x14ac:dyDescent="0.3">
      <c r="A2" s="64" t="s">
        <v>28</v>
      </c>
      <c r="B2" s="64"/>
      <c r="C2" s="64"/>
      <c r="D2" s="64"/>
      <c r="E2" s="64"/>
      <c r="F2" s="64"/>
      <c r="G2" s="64"/>
      <c r="H2" s="64"/>
    </row>
    <row r="3" spans="1:8" x14ac:dyDescent="0.3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7" t="s">
        <v>226</v>
      </c>
      <c r="C4" s="57" t="s">
        <v>29</v>
      </c>
      <c r="D4" s="59" t="s">
        <v>227</v>
      </c>
      <c r="E4" s="57" t="s">
        <v>228</v>
      </c>
      <c r="F4" s="59" t="s">
        <v>224</v>
      </c>
      <c r="G4" s="57" t="s">
        <v>225</v>
      </c>
      <c r="H4" s="57" t="s">
        <v>238</v>
      </c>
    </row>
    <row r="5" spans="1:8" ht="36" customHeight="1" x14ac:dyDescent="0.3">
      <c r="A5" s="44">
        <f t="shared" ref="A5:A52" si="0">1+A4</f>
        <v>2</v>
      </c>
      <c r="B5" s="57" t="s">
        <v>221</v>
      </c>
      <c r="C5" s="57" t="s">
        <v>29</v>
      </c>
      <c r="D5" s="59" t="s">
        <v>222</v>
      </c>
      <c r="E5" s="57" t="s">
        <v>223</v>
      </c>
      <c r="F5" s="59" t="s">
        <v>224</v>
      </c>
      <c r="G5" s="57" t="s">
        <v>225</v>
      </c>
      <c r="H5" s="57" t="s">
        <v>238</v>
      </c>
    </row>
    <row r="6" spans="1:8" ht="36" customHeight="1" x14ac:dyDescent="0.3">
      <c r="A6" s="44">
        <f t="shared" si="0"/>
        <v>3</v>
      </c>
      <c r="B6" s="57" t="s">
        <v>57</v>
      </c>
      <c r="C6" s="57" t="s">
        <v>29</v>
      </c>
      <c r="D6" s="59" t="s">
        <v>58</v>
      </c>
      <c r="E6" s="57" t="s">
        <v>59</v>
      </c>
      <c r="F6" s="59" t="s">
        <v>60</v>
      </c>
      <c r="G6" s="57" t="s">
        <v>61</v>
      </c>
      <c r="H6" s="57" t="s">
        <v>238</v>
      </c>
    </row>
    <row r="7" spans="1:8" ht="36" customHeight="1" x14ac:dyDescent="0.3">
      <c r="A7" s="44">
        <f t="shared" si="0"/>
        <v>4</v>
      </c>
      <c r="B7" s="57" t="s">
        <v>81</v>
      </c>
      <c r="C7" s="57" t="s">
        <v>29</v>
      </c>
      <c r="D7" s="59" t="s">
        <v>82</v>
      </c>
      <c r="E7" s="57" t="s">
        <v>83</v>
      </c>
      <c r="F7" s="59" t="s">
        <v>84</v>
      </c>
      <c r="G7" s="57" t="s">
        <v>85</v>
      </c>
      <c r="H7" s="57" t="s">
        <v>238</v>
      </c>
    </row>
    <row r="8" spans="1:8" ht="36" customHeight="1" x14ac:dyDescent="0.3">
      <c r="A8" s="44">
        <f t="shared" si="0"/>
        <v>5</v>
      </c>
      <c r="B8" s="57" t="s">
        <v>123</v>
      </c>
      <c r="C8" s="57" t="s">
        <v>29</v>
      </c>
      <c r="D8" s="58">
        <v>1063359856</v>
      </c>
      <c r="E8" s="57" t="s">
        <v>118</v>
      </c>
      <c r="F8" s="59" t="s">
        <v>124</v>
      </c>
      <c r="G8" s="57" t="s">
        <v>125</v>
      </c>
      <c r="H8" s="57" t="s">
        <v>238</v>
      </c>
    </row>
    <row r="9" spans="1:8" ht="36" customHeight="1" x14ac:dyDescent="0.3">
      <c r="A9" s="44">
        <f t="shared" si="0"/>
        <v>6</v>
      </c>
      <c r="B9" s="57" t="s">
        <v>49</v>
      </c>
      <c r="C9" s="57" t="s">
        <v>29</v>
      </c>
      <c r="D9" s="59" t="s">
        <v>50</v>
      </c>
      <c r="E9" s="57" t="s">
        <v>48</v>
      </c>
      <c r="F9" s="59" t="s">
        <v>51</v>
      </c>
      <c r="G9" s="57" t="s">
        <v>52</v>
      </c>
      <c r="H9" s="57" t="s">
        <v>238</v>
      </c>
    </row>
    <row r="10" spans="1:8" ht="36" customHeight="1" x14ac:dyDescent="0.3">
      <c r="A10" s="44">
        <f t="shared" si="0"/>
        <v>7</v>
      </c>
      <c r="B10" s="57" t="s">
        <v>142</v>
      </c>
      <c r="C10" s="57" t="s">
        <v>30</v>
      </c>
      <c r="D10" s="59" t="s">
        <v>143</v>
      </c>
      <c r="E10" s="57" t="s">
        <v>144</v>
      </c>
      <c r="F10" s="59" t="s">
        <v>145</v>
      </c>
      <c r="G10" s="57" t="s">
        <v>146</v>
      </c>
      <c r="H10" s="57" t="s">
        <v>238</v>
      </c>
    </row>
    <row r="11" spans="1:8" ht="36" customHeight="1" x14ac:dyDescent="0.3">
      <c r="A11" s="44">
        <f t="shared" si="0"/>
        <v>8</v>
      </c>
      <c r="B11" s="57" t="s">
        <v>147</v>
      </c>
      <c r="C11" s="57" t="s">
        <v>29</v>
      </c>
      <c r="D11" s="59" t="s">
        <v>148</v>
      </c>
      <c r="E11" s="57" t="s">
        <v>149</v>
      </c>
      <c r="F11" s="59" t="s">
        <v>150</v>
      </c>
      <c r="G11" s="57" t="s">
        <v>151</v>
      </c>
      <c r="H11" s="57" t="s">
        <v>238</v>
      </c>
    </row>
    <row r="12" spans="1:8" ht="36" customHeight="1" x14ac:dyDescent="0.3">
      <c r="A12" s="44">
        <f t="shared" si="0"/>
        <v>9</v>
      </c>
      <c r="B12" s="57" t="s">
        <v>188</v>
      </c>
      <c r="C12" s="57" t="s">
        <v>30</v>
      </c>
      <c r="D12" s="59" t="s">
        <v>189</v>
      </c>
      <c r="E12" s="57" t="s">
        <v>190</v>
      </c>
      <c r="F12" s="59" t="s">
        <v>191</v>
      </c>
      <c r="G12" s="57" t="s">
        <v>192</v>
      </c>
      <c r="H12" s="57" t="s">
        <v>238</v>
      </c>
    </row>
    <row r="13" spans="1:8" ht="36" customHeight="1" x14ac:dyDescent="0.3">
      <c r="A13" s="44">
        <f t="shared" si="0"/>
        <v>10</v>
      </c>
      <c r="B13" s="57" t="s">
        <v>216</v>
      </c>
      <c r="C13" s="57" t="s">
        <v>29</v>
      </c>
      <c r="D13" s="59" t="s">
        <v>217</v>
      </c>
      <c r="E13" s="57" t="s">
        <v>218</v>
      </c>
      <c r="F13" s="59" t="s">
        <v>219</v>
      </c>
      <c r="G13" s="57" t="s">
        <v>220</v>
      </c>
      <c r="H13" s="57" t="s">
        <v>238</v>
      </c>
    </row>
    <row r="14" spans="1:8" ht="36" customHeight="1" x14ac:dyDescent="0.3">
      <c r="A14" s="44">
        <f t="shared" si="0"/>
        <v>11</v>
      </c>
      <c r="B14" s="57" t="s">
        <v>206</v>
      </c>
      <c r="C14" s="57" t="s">
        <v>29</v>
      </c>
      <c r="D14" s="59" t="s">
        <v>207</v>
      </c>
      <c r="E14" s="57" t="s">
        <v>208</v>
      </c>
      <c r="F14" s="59" t="s">
        <v>209</v>
      </c>
      <c r="G14" s="57" t="s">
        <v>210</v>
      </c>
      <c r="H14" s="57" t="s">
        <v>238</v>
      </c>
    </row>
    <row r="15" spans="1:8" ht="36" customHeight="1" x14ac:dyDescent="0.3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238</v>
      </c>
    </row>
    <row r="16" spans="1:8" ht="36" customHeight="1" x14ac:dyDescent="0.3">
      <c r="A16" s="44">
        <f t="shared" si="0"/>
        <v>13</v>
      </c>
      <c r="B16" s="57" t="s">
        <v>165</v>
      </c>
      <c r="C16" s="57" t="s">
        <v>29</v>
      </c>
      <c r="D16" s="59" t="s">
        <v>166</v>
      </c>
      <c r="E16" s="57" t="s">
        <v>154</v>
      </c>
      <c r="F16" s="59" t="s">
        <v>167</v>
      </c>
      <c r="G16" s="60" t="s">
        <v>246</v>
      </c>
      <c r="H16" s="57" t="s">
        <v>238</v>
      </c>
    </row>
    <row r="17" spans="1:8" ht="36" customHeight="1" x14ac:dyDescent="0.3">
      <c r="A17" s="44">
        <f t="shared" si="0"/>
        <v>14</v>
      </c>
      <c r="B17" s="57" t="s">
        <v>117</v>
      </c>
      <c r="C17" s="57" t="s">
        <v>29</v>
      </c>
      <c r="D17" s="59">
        <v>163788493</v>
      </c>
      <c r="E17" s="57" t="s">
        <v>118</v>
      </c>
      <c r="F17" s="59">
        <v>3113436761</v>
      </c>
      <c r="G17" s="60" t="s">
        <v>250</v>
      </c>
      <c r="H17" s="57" t="s">
        <v>238</v>
      </c>
    </row>
    <row r="18" spans="1:8" ht="36" customHeight="1" x14ac:dyDescent="0.3">
      <c r="A18" s="44">
        <f t="shared" si="0"/>
        <v>15</v>
      </c>
      <c r="B18" s="57" t="s">
        <v>119</v>
      </c>
      <c r="C18" s="57" t="s">
        <v>29</v>
      </c>
      <c r="D18" s="59" t="s">
        <v>120</v>
      </c>
      <c r="E18" s="57" t="s">
        <v>118</v>
      </c>
      <c r="F18" s="59" t="s">
        <v>121</v>
      </c>
      <c r="G18" s="57" t="s">
        <v>122</v>
      </c>
      <c r="H18" s="57" t="s">
        <v>238</v>
      </c>
    </row>
    <row r="19" spans="1:8" ht="36" customHeight="1" x14ac:dyDescent="0.3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238</v>
      </c>
    </row>
    <row r="20" spans="1:8" ht="36" customHeight="1" x14ac:dyDescent="0.3">
      <c r="A20" s="44">
        <f t="shared" si="0"/>
        <v>17</v>
      </c>
      <c r="B20" s="57" t="s">
        <v>94</v>
      </c>
      <c r="C20" s="57" t="s">
        <v>29</v>
      </c>
      <c r="D20" s="59" t="s">
        <v>95</v>
      </c>
      <c r="E20" s="57" t="s">
        <v>91</v>
      </c>
      <c r="F20" s="59" t="s">
        <v>96</v>
      </c>
      <c r="G20" s="57" t="s">
        <v>97</v>
      </c>
      <c r="H20" s="57" t="s">
        <v>238</v>
      </c>
    </row>
    <row r="21" spans="1:8" ht="36" customHeight="1" x14ac:dyDescent="0.3">
      <c r="A21" s="44">
        <f t="shared" si="0"/>
        <v>18</v>
      </c>
      <c r="B21" s="57" t="s">
        <v>161</v>
      </c>
      <c r="C21" s="57" t="s">
        <v>29</v>
      </c>
      <c r="D21" s="59" t="s">
        <v>162</v>
      </c>
      <c r="E21" s="57" t="s">
        <v>154</v>
      </c>
      <c r="F21" s="59" t="s">
        <v>163</v>
      </c>
      <c r="G21" s="57" t="s">
        <v>164</v>
      </c>
      <c r="H21" s="57" t="s">
        <v>238</v>
      </c>
    </row>
    <row r="22" spans="1:8" ht="36" customHeight="1" x14ac:dyDescent="0.3">
      <c r="A22" s="44">
        <f t="shared" si="0"/>
        <v>19</v>
      </c>
      <c r="B22" s="57" t="s">
        <v>201</v>
      </c>
      <c r="C22" s="57" t="s">
        <v>29</v>
      </c>
      <c r="D22" s="59" t="s">
        <v>202</v>
      </c>
      <c r="E22" s="57" t="s">
        <v>203</v>
      </c>
      <c r="F22" s="59" t="s">
        <v>204</v>
      </c>
      <c r="G22" s="57" t="s">
        <v>205</v>
      </c>
      <c r="H22" s="57" t="s">
        <v>238</v>
      </c>
    </row>
    <row r="23" spans="1:8" ht="36" customHeight="1" x14ac:dyDescent="0.3">
      <c r="A23" s="44">
        <f t="shared" si="0"/>
        <v>20</v>
      </c>
      <c r="B23" s="57" t="s">
        <v>211</v>
      </c>
      <c r="C23" s="57" t="s">
        <v>29</v>
      </c>
      <c r="D23" s="59" t="s">
        <v>212</v>
      </c>
      <c r="E23" s="57" t="s">
        <v>213</v>
      </c>
      <c r="F23" s="59" t="s">
        <v>214</v>
      </c>
      <c r="G23" s="57" t="s">
        <v>215</v>
      </c>
      <c r="H23" s="57" t="s">
        <v>238</v>
      </c>
    </row>
    <row r="24" spans="1:8" ht="36" customHeight="1" x14ac:dyDescent="0.3">
      <c r="A24" s="44">
        <f t="shared" si="0"/>
        <v>21</v>
      </c>
      <c r="B24" s="57" t="s">
        <v>77</v>
      </c>
      <c r="C24" s="57" t="s">
        <v>29</v>
      </c>
      <c r="D24" s="59" t="s">
        <v>78</v>
      </c>
      <c r="E24" s="57" t="s">
        <v>74</v>
      </c>
      <c r="F24" s="59" t="s">
        <v>79</v>
      </c>
      <c r="G24" s="57" t="s">
        <v>80</v>
      </c>
      <c r="H24" s="57" t="s">
        <v>238</v>
      </c>
    </row>
    <row r="25" spans="1:8" ht="36" customHeight="1" x14ac:dyDescent="0.3">
      <c r="A25" s="44">
        <f t="shared" si="0"/>
        <v>22</v>
      </c>
      <c r="B25" s="57" t="s">
        <v>112</v>
      </c>
      <c r="C25" s="57" t="s">
        <v>29</v>
      </c>
      <c r="D25" s="59" t="s">
        <v>113</v>
      </c>
      <c r="E25" s="57" t="s">
        <v>114</v>
      </c>
      <c r="F25" s="59" t="s">
        <v>115</v>
      </c>
      <c r="G25" s="57" t="s">
        <v>116</v>
      </c>
      <c r="H25" s="57" t="s">
        <v>238</v>
      </c>
    </row>
    <row r="26" spans="1:8" ht="36" customHeight="1" x14ac:dyDescent="0.3">
      <c r="A26" s="44">
        <f t="shared" si="0"/>
        <v>23</v>
      </c>
      <c r="B26" s="57" t="s">
        <v>72</v>
      </c>
      <c r="C26" s="57" t="s">
        <v>29</v>
      </c>
      <c r="D26" s="59" t="s">
        <v>73</v>
      </c>
      <c r="E26" s="57" t="s">
        <v>74</v>
      </c>
      <c r="F26" s="59" t="s">
        <v>75</v>
      </c>
      <c r="G26" s="57" t="s">
        <v>76</v>
      </c>
      <c r="H26" s="57" t="s">
        <v>238</v>
      </c>
    </row>
    <row r="27" spans="1:8" ht="36" customHeight="1" x14ac:dyDescent="0.3">
      <c r="A27" s="44">
        <f t="shared" si="0"/>
        <v>24</v>
      </c>
      <c r="B27" s="57" t="s">
        <v>233</v>
      </c>
      <c r="C27" s="57" t="s">
        <v>29</v>
      </c>
      <c r="D27" s="59" t="s">
        <v>234</v>
      </c>
      <c r="E27" s="57" t="s">
        <v>235</v>
      </c>
      <c r="F27" s="59" t="s">
        <v>236</v>
      </c>
      <c r="G27" s="57" t="s">
        <v>237</v>
      </c>
      <c r="H27" s="57" t="s">
        <v>238</v>
      </c>
    </row>
    <row r="28" spans="1:8" ht="36" customHeight="1" x14ac:dyDescent="0.3">
      <c r="A28" s="44">
        <f t="shared" si="0"/>
        <v>25</v>
      </c>
      <c r="B28" s="57" t="s">
        <v>67</v>
      </c>
      <c r="C28" s="57" t="s">
        <v>29</v>
      </c>
      <c r="D28" s="59" t="s">
        <v>68</v>
      </c>
      <c r="E28" s="57" t="s">
        <v>69</v>
      </c>
      <c r="F28" s="59" t="s">
        <v>70</v>
      </c>
      <c r="G28" s="57" t="s">
        <v>71</v>
      </c>
      <c r="H28" s="57" t="s">
        <v>238</v>
      </c>
    </row>
    <row r="29" spans="1:8" ht="36" customHeight="1" x14ac:dyDescent="0.3">
      <c r="A29" s="44">
        <f t="shared" si="0"/>
        <v>26</v>
      </c>
      <c r="B29" s="57" t="s">
        <v>130</v>
      </c>
      <c r="C29" s="57" t="s">
        <v>29</v>
      </c>
      <c r="D29" s="59" t="s">
        <v>131</v>
      </c>
      <c r="E29" s="57" t="s">
        <v>118</v>
      </c>
      <c r="F29" s="59" t="s">
        <v>132</v>
      </c>
      <c r="G29" s="57" t="s">
        <v>133</v>
      </c>
      <c r="H29" s="57" t="s">
        <v>238</v>
      </c>
    </row>
    <row r="30" spans="1:8" ht="36" customHeight="1" x14ac:dyDescent="0.3">
      <c r="A30" s="44">
        <f t="shared" si="0"/>
        <v>27</v>
      </c>
      <c r="B30" s="57" t="s">
        <v>98</v>
      </c>
      <c r="C30" s="57" t="s">
        <v>29</v>
      </c>
      <c r="D30" s="59" t="s">
        <v>99</v>
      </c>
      <c r="E30" s="57" t="s">
        <v>100</v>
      </c>
      <c r="F30" s="59" t="s">
        <v>101</v>
      </c>
      <c r="G30" s="57" t="s">
        <v>102</v>
      </c>
      <c r="H30" s="57" t="s">
        <v>238</v>
      </c>
    </row>
    <row r="31" spans="1:8" ht="36" customHeight="1" x14ac:dyDescent="0.3">
      <c r="A31" s="44">
        <f t="shared" si="0"/>
        <v>28</v>
      </c>
      <c r="B31" s="57" t="s">
        <v>138</v>
      </c>
      <c r="C31" s="57" t="s">
        <v>29</v>
      </c>
      <c r="D31" s="59" t="s">
        <v>139</v>
      </c>
      <c r="E31" s="57" t="s">
        <v>140</v>
      </c>
      <c r="F31" s="59" t="s">
        <v>141</v>
      </c>
      <c r="G31" s="60" t="s">
        <v>247</v>
      </c>
      <c r="H31" s="57" t="s">
        <v>238</v>
      </c>
    </row>
    <row r="32" spans="1:8" ht="36" customHeight="1" x14ac:dyDescent="0.3">
      <c r="A32" s="44">
        <f t="shared" si="0"/>
        <v>29</v>
      </c>
      <c r="B32" s="57" t="s">
        <v>197</v>
      </c>
      <c r="C32" s="57" t="s">
        <v>29</v>
      </c>
      <c r="D32" s="59" t="s">
        <v>198</v>
      </c>
      <c r="E32" s="57" t="s">
        <v>69</v>
      </c>
      <c r="F32" s="59" t="s">
        <v>199</v>
      </c>
      <c r="G32" s="57" t="s">
        <v>200</v>
      </c>
      <c r="H32" s="57" t="s">
        <v>238</v>
      </c>
    </row>
    <row r="33" spans="1:8" ht="36" customHeight="1" x14ac:dyDescent="0.3">
      <c r="A33" s="44">
        <f t="shared" si="0"/>
        <v>30</v>
      </c>
      <c r="B33" s="57" t="s">
        <v>184</v>
      </c>
      <c r="C33" s="57" t="s">
        <v>29</v>
      </c>
      <c r="D33" s="59" t="s">
        <v>185</v>
      </c>
      <c r="E33" s="57" t="s">
        <v>34</v>
      </c>
      <c r="F33" s="59" t="s">
        <v>186</v>
      </c>
      <c r="G33" s="57" t="s">
        <v>187</v>
      </c>
      <c r="H33" s="57" t="s">
        <v>238</v>
      </c>
    </row>
    <row r="34" spans="1:8" ht="36" customHeight="1" x14ac:dyDescent="0.3">
      <c r="A34" s="44">
        <f t="shared" si="0"/>
        <v>31</v>
      </c>
      <c r="B34" s="57" t="s">
        <v>168</v>
      </c>
      <c r="C34" s="57" t="s">
        <v>29</v>
      </c>
      <c r="D34" s="59" t="s">
        <v>169</v>
      </c>
      <c r="E34" s="57" t="s">
        <v>154</v>
      </c>
      <c r="F34" s="59" t="s">
        <v>170</v>
      </c>
      <c r="G34" s="57" t="s">
        <v>171</v>
      </c>
      <c r="H34" s="57" t="s">
        <v>238</v>
      </c>
    </row>
    <row r="35" spans="1:8" ht="36" customHeight="1" x14ac:dyDescent="0.3">
      <c r="A35" s="44">
        <f t="shared" si="0"/>
        <v>32</v>
      </c>
      <c r="B35" s="57" t="s">
        <v>126</v>
      </c>
      <c r="C35" s="57" t="s">
        <v>29</v>
      </c>
      <c r="D35" s="59" t="s">
        <v>127</v>
      </c>
      <c r="E35" s="57" t="s">
        <v>118</v>
      </c>
      <c r="F35" s="58" t="s">
        <v>128</v>
      </c>
      <c r="G35" s="57" t="s">
        <v>129</v>
      </c>
      <c r="H35" s="57" t="s">
        <v>238</v>
      </c>
    </row>
    <row r="36" spans="1:8" ht="36" customHeight="1" x14ac:dyDescent="0.3">
      <c r="A36" s="44">
        <f t="shared" si="0"/>
        <v>33</v>
      </c>
      <c r="B36" s="57" t="s">
        <v>176</v>
      </c>
      <c r="C36" s="57" t="s">
        <v>29</v>
      </c>
      <c r="D36" s="59" t="s">
        <v>177</v>
      </c>
      <c r="E36" s="57" t="s">
        <v>174</v>
      </c>
      <c r="F36" s="59" t="s">
        <v>178</v>
      </c>
      <c r="G36" s="57" t="s">
        <v>179</v>
      </c>
      <c r="H36" s="57" t="s">
        <v>238</v>
      </c>
    </row>
    <row r="37" spans="1:8" ht="36" customHeight="1" x14ac:dyDescent="0.3">
      <c r="A37" s="44">
        <f t="shared" si="0"/>
        <v>34</v>
      </c>
      <c r="B37" s="57" t="s">
        <v>172</v>
      </c>
      <c r="C37" s="57" t="s">
        <v>30</v>
      </c>
      <c r="D37" s="59" t="s">
        <v>173</v>
      </c>
      <c r="E37" s="57" t="s">
        <v>174</v>
      </c>
      <c r="F37" s="59" t="s">
        <v>175</v>
      </c>
      <c r="G37" s="60" t="s">
        <v>244</v>
      </c>
      <c r="H37" s="57" t="s">
        <v>238</v>
      </c>
    </row>
    <row r="38" spans="1:8" ht="36" customHeight="1" x14ac:dyDescent="0.3">
      <c r="A38" s="44">
        <f t="shared" si="0"/>
        <v>35</v>
      </c>
      <c r="B38" s="57" t="s">
        <v>103</v>
      </c>
      <c r="C38" s="57" t="s">
        <v>29</v>
      </c>
      <c r="D38" s="59" t="s">
        <v>104</v>
      </c>
      <c r="E38" s="57" t="s">
        <v>105</v>
      </c>
      <c r="F38" s="59" t="s">
        <v>106</v>
      </c>
      <c r="G38" s="57" t="s">
        <v>107</v>
      </c>
      <c r="H38" s="57" t="s">
        <v>238</v>
      </c>
    </row>
    <row r="39" spans="1:8" ht="36" customHeight="1" x14ac:dyDescent="0.3">
      <c r="A39" s="44">
        <f t="shared" si="0"/>
        <v>36</v>
      </c>
      <c r="B39" s="57" t="s">
        <v>229</v>
      </c>
      <c r="C39" s="57" t="s">
        <v>29</v>
      </c>
      <c r="D39" s="59" t="s">
        <v>230</v>
      </c>
      <c r="E39" s="57" t="s">
        <v>100</v>
      </c>
      <c r="F39" s="59" t="s">
        <v>231</v>
      </c>
      <c r="G39" s="57" t="s">
        <v>232</v>
      </c>
      <c r="H39" s="57" t="s">
        <v>238</v>
      </c>
    </row>
    <row r="40" spans="1:8" ht="36" customHeight="1" x14ac:dyDescent="0.3">
      <c r="A40" s="44">
        <f t="shared" si="0"/>
        <v>37</v>
      </c>
      <c r="B40" s="57" t="s">
        <v>193</v>
      </c>
      <c r="C40" s="57" t="s">
        <v>29</v>
      </c>
      <c r="D40" s="59" t="s">
        <v>194</v>
      </c>
      <c r="E40" s="57" t="s">
        <v>190</v>
      </c>
      <c r="F40" s="59" t="s">
        <v>195</v>
      </c>
      <c r="G40" s="57" t="s">
        <v>196</v>
      </c>
      <c r="H40" s="57" t="s">
        <v>238</v>
      </c>
    </row>
    <row r="41" spans="1:8" ht="36" customHeight="1" x14ac:dyDescent="0.3">
      <c r="A41" s="44">
        <f t="shared" si="0"/>
        <v>38</v>
      </c>
      <c r="B41" s="57" t="s">
        <v>108</v>
      </c>
      <c r="C41" s="57" t="s">
        <v>30</v>
      </c>
      <c r="D41" s="59" t="s">
        <v>109</v>
      </c>
      <c r="E41" s="57" t="s">
        <v>105</v>
      </c>
      <c r="F41" s="59" t="s">
        <v>110</v>
      </c>
      <c r="G41" s="57" t="s">
        <v>111</v>
      </c>
      <c r="H41" s="57" t="s">
        <v>238</v>
      </c>
    </row>
    <row r="42" spans="1:8" ht="36" customHeight="1" x14ac:dyDescent="0.3">
      <c r="A42" s="44">
        <f t="shared" si="0"/>
        <v>39</v>
      </c>
      <c r="B42" s="57" t="s">
        <v>157</v>
      </c>
      <c r="C42" s="57" t="s">
        <v>29</v>
      </c>
      <c r="D42" s="59" t="s">
        <v>158</v>
      </c>
      <c r="E42" s="57" t="s">
        <v>154</v>
      </c>
      <c r="F42" s="59" t="s">
        <v>159</v>
      </c>
      <c r="G42" s="57" t="s">
        <v>160</v>
      </c>
      <c r="H42" s="57" t="s">
        <v>238</v>
      </c>
    </row>
    <row r="43" spans="1:8" ht="36" customHeight="1" x14ac:dyDescent="0.3">
      <c r="A43" s="44">
        <f t="shared" si="0"/>
        <v>40</v>
      </c>
      <c r="B43" s="57" t="s">
        <v>86</v>
      </c>
      <c r="C43" s="57" t="s">
        <v>29</v>
      </c>
      <c r="D43" s="59">
        <v>1063359483</v>
      </c>
      <c r="E43" s="57" t="s">
        <v>87</v>
      </c>
      <c r="F43" s="59">
        <v>3045804294</v>
      </c>
      <c r="G43" s="57" t="s">
        <v>88</v>
      </c>
      <c r="H43" s="57" t="s">
        <v>238</v>
      </c>
    </row>
    <row r="44" spans="1:8" ht="36" customHeight="1" x14ac:dyDescent="0.3">
      <c r="A44" s="44">
        <f t="shared" si="0"/>
        <v>41</v>
      </c>
      <c r="B44" s="57" t="s">
        <v>180</v>
      </c>
      <c r="C44" s="57" t="s">
        <v>29</v>
      </c>
      <c r="D44" s="59" t="s">
        <v>181</v>
      </c>
      <c r="E44" s="57" t="s">
        <v>174</v>
      </c>
      <c r="F44" s="59" t="s">
        <v>182</v>
      </c>
      <c r="G44" s="57" t="s">
        <v>183</v>
      </c>
      <c r="H44" s="57" t="s">
        <v>238</v>
      </c>
    </row>
    <row r="45" spans="1:8" ht="36" customHeight="1" x14ac:dyDescent="0.3">
      <c r="A45" s="44">
        <f t="shared" si="0"/>
        <v>42</v>
      </c>
      <c r="B45" s="57" t="s">
        <v>152</v>
      </c>
      <c r="C45" s="57" t="s">
        <v>29</v>
      </c>
      <c r="D45" s="59" t="s">
        <v>153</v>
      </c>
      <c r="E45" s="57" t="s">
        <v>154</v>
      </c>
      <c r="F45" s="59" t="s">
        <v>155</v>
      </c>
      <c r="G45" s="57" t="s">
        <v>156</v>
      </c>
      <c r="H45" s="57" t="s">
        <v>238</v>
      </c>
    </row>
    <row r="46" spans="1:8" ht="36" customHeight="1" x14ac:dyDescent="0.3">
      <c r="A46" s="44">
        <f t="shared" si="0"/>
        <v>43</v>
      </c>
      <c r="B46" s="57" t="s">
        <v>53</v>
      </c>
      <c r="C46" s="57" t="s">
        <v>29</v>
      </c>
      <c r="D46" s="59" t="s">
        <v>54</v>
      </c>
      <c r="E46" s="57" t="s">
        <v>55</v>
      </c>
      <c r="F46" s="59" t="s">
        <v>56</v>
      </c>
      <c r="G46" s="60" t="s">
        <v>239</v>
      </c>
      <c r="H46" s="57" t="s">
        <v>238</v>
      </c>
    </row>
    <row r="47" spans="1:8" ht="36" customHeight="1" x14ac:dyDescent="0.3">
      <c r="A47" s="44">
        <f t="shared" si="0"/>
        <v>44</v>
      </c>
      <c r="B47" s="57" t="s">
        <v>89</v>
      </c>
      <c r="C47" s="57" t="s">
        <v>29</v>
      </c>
      <c r="D47" s="59" t="s">
        <v>90</v>
      </c>
      <c r="E47" s="57" t="s">
        <v>91</v>
      </c>
      <c r="F47" s="59" t="s">
        <v>92</v>
      </c>
      <c r="G47" s="57" t="s">
        <v>93</v>
      </c>
      <c r="H47" s="57" t="s">
        <v>238</v>
      </c>
    </row>
    <row r="48" spans="1:8" ht="36" customHeight="1" x14ac:dyDescent="0.3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60" t="s">
        <v>245</v>
      </c>
      <c r="H48" s="57" t="s">
        <v>238</v>
      </c>
    </row>
    <row r="49" spans="1:8" ht="36" customHeight="1" x14ac:dyDescent="0.3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238</v>
      </c>
    </row>
    <row r="50" spans="1:8" ht="36" customHeight="1" x14ac:dyDescent="0.3">
      <c r="A50" s="44">
        <f t="shared" si="0"/>
        <v>47</v>
      </c>
      <c r="B50" s="57" t="s">
        <v>134</v>
      </c>
      <c r="C50" s="57" t="s">
        <v>29</v>
      </c>
      <c r="D50" s="59" t="s">
        <v>135</v>
      </c>
      <c r="E50" s="57" t="s">
        <v>118</v>
      </c>
      <c r="F50" s="59" t="s">
        <v>136</v>
      </c>
      <c r="G50" s="57" t="s">
        <v>137</v>
      </c>
      <c r="H50" s="57" t="s">
        <v>238</v>
      </c>
    </row>
    <row r="51" spans="1:8" ht="36" customHeight="1" x14ac:dyDescent="0.3">
      <c r="A51" s="44">
        <f t="shared" si="0"/>
        <v>48</v>
      </c>
      <c r="B51" s="57" t="s">
        <v>62</v>
      </c>
      <c r="C51" s="57" t="s">
        <v>29</v>
      </c>
      <c r="D51" s="59" t="s">
        <v>63</v>
      </c>
      <c r="E51" s="57" t="s">
        <v>64</v>
      </c>
      <c r="F51" s="59" t="s">
        <v>65</v>
      </c>
      <c r="G51" s="57" t="s">
        <v>66</v>
      </c>
      <c r="H51" s="57" t="s">
        <v>238</v>
      </c>
    </row>
    <row r="52" spans="1:8" ht="36" customHeight="1" x14ac:dyDescent="0.3">
      <c r="A52" s="44">
        <f t="shared" si="0"/>
        <v>49</v>
      </c>
      <c r="B52" s="50" t="s">
        <v>240</v>
      </c>
      <c r="C52" s="51" t="s">
        <v>241</v>
      </c>
      <c r="D52" s="47">
        <v>1063358976</v>
      </c>
      <c r="E52" s="45" t="s">
        <v>242</v>
      </c>
      <c r="F52" s="15">
        <v>3001754755</v>
      </c>
      <c r="G52" s="61" t="s">
        <v>243</v>
      </c>
      <c r="H52" s="52" t="s">
        <v>238</v>
      </c>
    </row>
    <row r="53" spans="1:8" ht="36" customHeight="1" x14ac:dyDescent="0.3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  <hyperlink ref="G37" r:id="rId5" xr:uid="{3CA2440D-8BCE-4E18-B317-8E843E2D7A3E}"/>
    <hyperlink ref="G48" r:id="rId6" xr:uid="{A74B16DD-3DD0-45C8-830B-91FFE26BB69A}"/>
    <hyperlink ref="G16" r:id="rId7" xr:uid="{36822912-61D4-449D-899A-5E87D7F11EBE}"/>
    <hyperlink ref="G31" r:id="rId8" xr:uid="{0C63496A-BB3B-48F5-B0EF-D695EBC9F202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abSelected="1" topLeftCell="A6" zoomScale="130" zoomScaleNormal="130" workbookViewId="0">
      <selection activeCell="J6" sqref="J6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4" width="10.88671875" bestFit="1" customWidth="1"/>
    <col min="5" max="5" width="10.5546875" bestFit="1" customWidth="1"/>
    <col min="6" max="6" width="9.88671875" bestFit="1" customWidth="1"/>
    <col min="7" max="7" width="7.33203125" style="2" customWidth="1"/>
    <col min="8" max="8" width="7.33203125" customWidth="1"/>
    <col min="9" max="9" width="11.33203125" customWidth="1"/>
    <col min="10" max="10" width="10.6640625" customWidth="1"/>
    <col min="11" max="15" width="7.33203125" customWidth="1"/>
    <col min="16" max="16" width="7.33203125" style="2" customWidth="1"/>
    <col min="17" max="24" width="7.33203125" customWidth="1"/>
    <col min="25" max="25" width="7.33203125" style="2" customWidth="1"/>
    <col min="26" max="29" width="7.33203125" customWidth="1"/>
    <col min="30" max="30" width="7.33203125" style="2" customWidth="1"/>
  </cols>
  <sheetData>
    <row r="1" spans="1:30" ht="66" customHeight="1" thickBot="1" x14ac:dyDescent="0.35">
      <c r="B1" s="75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</row>
    <row r="2" spans="1:30" ht="20.100000000000001" customHeight="1" x14ac:dyDescent="0.4">
      <c r="A2" s="55" t="s">
        <v>13</v>
      </c>
      <c r="B2" s="53" t="s">
        <v>22</v>
      </c>
      <c r="C2" s="55" t="s">
        <v>3</v>
      </c>
      <c r="D2" s="91" t="s">
        <v>21</v>
      </c>
      <c r="E2" s="92"/>
      <c r="F2" s="92"/>
      <c r="G2" s="93"/>
      <c r="H2" s="76" t="s">
        <v>21</v>
      </c>
      <c r="I2" s="77"/>
      <c r="J2" s="77"/>
      <c r="K2" s="77"/>
      <c r="L2" s="77"/>
      <c r="M2" s="77"/>
      <c r="N2" s="77"/>
      <c r="O2" s="77"/>
      <c r="P2" s="78"/>
      <c r="Q2" s="85" t="s">
        <v>21</v>
      </c>
      <c r="R2" s="86"/>
      <c r="S2" s="86"/>
      <c r="T2" s="86"/>
      <c r="U2" s="86"/>
      <c r="V2" s="86"/>
      <c r="W2" s="86"/>
      <c r="X2" s="86"/>
      <c r="Y2" s="87"/>
      <c r="Z2" s="68" t="s">
        <v>21</v>
      </c>
      <c r="AA2" s="69"/>
      <c r="AB2" s="69"/>
      <c r="AC2" s="69"/>
      <c r="AD2" s="70"/>
    </row>
    <row r="3" spans="1:30" ht="15" customHeight="1" x14ac:dyDescent="0.3">
      <c r="A3" s="56"/>
      <c r="B3" s="54"/>
      <c r="C3" s="56"/>
      <c r="D3" s="94" t="s">
        <v>7</v>
      </c>
      <c r="E3" s="95"/>
      <c r="F3" s="95"/>
      <c r="G3" s="96"/>
      <c r="H3" s="79" t="s">
        <v>2</v>
      </c>
      <c r="I3" s="80"/>
      <c r="J3" s="80"/>
      <c r="K3" s="80"/>
      <c r="L3" s="80"/>
      <c r="M3" s="80"/>
      <c r="N3" s="80"/>
      <c r="O3" s="80"/>
      <c r="P3" s="81"/>
      <c r="Q3" s="88" t="s">
        <v>1</v>
      </c>
      <c r="R3" s="89"/>
      <c r="S3" s="89"/>
      <c r="T3" s="89"/>
      <c r="U3" s="89"/>
      <c r="V3" s="89"/>
      <c r="W3" s="89"/>
      <c r="X3" s="89"/>
      <c r="Y3" s="90"/>
      <c r="Z3" s="71" t="s">
        <v>0</v>
      </c>
      <c r="AA3" s="72"/>
      <c r="AB3" s="72"/>
      <c r="AC3" s="72"/>
      <c r="AD3" s="73"/>
    </row>
    <row r="4" spans="1:30" ht="35.25" customHeight="1" x14ac:dyDescent="0.3">
      <c r="A4" s="56"/>
      <c r="B4" s="54"/>
      <c r="C4" s="56"/>
      <c r="D4" s="97" t="s">
        <v>23</v>
      </c>
      <c r="E4" s="83"/>
      <c r="F4" s="83"/>
      <c r="G4" s="1"/>
      <c r="H4" s="82" t="s">
        <v>24</v>
      </c>
      <c r="I4" s="83"/>
      <c r="J4" s="83"/>
      <c r="K4" s="83"/>
      <c r="L4" s="83"/>
      <c r="M4" s="83"/>
      <c r="N4" s="83"/>
      <c r="O4" s="84"/>
      <c r="P4" s="3"/>
      <c r="Q4" s="82" t="s">
        <v>24</v>
      </c>
      <c r="R4" s="83"/>
      <c r="S4" s="83"/>
      <c r="T4" s="83"/>
      <c r="U4" s="83"/>
      <c r="V4" s="83"/>
      <c r="W4" s="83"/>
      <c r="X4" s="84"/>
      <c r="Y4" s="13"/>
      <c r="Z4" s="74" t="s">
        <v>24</v>
      </c>
      <c r="AA4" s="74"/>
      <c r="AB4" s="74"/>
      <c r="AC4" s="74"/>
      <c r="AD4" s="3"/>
    </row>
    <row r="5" spans="1:30" ht="27.75" customHeight="1" x14ac:dyDescent="0.3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 t="s">
        <v>248</v>
      </c>
      <c r="J5" s="29" t="s">
        <v>249</v>
      </c>
      <c r="K5" s="29"/>
      <c r="L5" s="29"/>
      <c r="M5" s="29"/>
      <c r="N5" s="29"/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19.8" x14ac:dyDescent="0.3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/>
      <c r="K6" s="39"/>
      <c r="L6" s="39"/>
      <c r="M6" s="39"/>
      <c r="N6" s="39"/>
      <c r="O6" s="40"/>
      <c r="P6" s="38">
        <f t="shared" ref="P6:P53" si="0">+SUM(H6:O6)/8</f>
        <v>0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19.8" x14ac:dyDescent="0.3">
      <c r="A7" s="21">
        <v>2</v>
      </c>
      <c r="B7" s="19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/>
      <c r="K7" s="39"/>
      <c r="L7" s="39"/>
      <c r="M7" s="39"/>
      <c r="N7" s="39"/>
      <c r="O7" s="40"/>
      <c r="P7" s="38">
        <f t="shared" si="0"/>
        <v>0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19.8" x14ac:dyDescent="0.3">
      <c r="A8" s="21">
        <v>3</v>
      </c>
      <c r="B8" s="19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/>
      <c r="K8" s="39"/>
      <c r="L8" s="39"/>
      <c r="M8" s="39"/>
      <c r="N8" s="39"/>
      <c r="O8" s="40"/>
      <c r="P8" s="38">
        <f t="shared" si="0"/>
        <v>0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8" x14ac:dyDescent="0.3">
      <c r="A9" s="21">
        <v>4</v>
      </c>
      <c r="B9" s="19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2</v>
      </c>
      <c r="I9" s="39"/>
      <c r="J9" s="39"/>
      <c r="K9" s="39"/>
      <c r="L9" s="39"/>
      <c r="M9" s="39"/>
      <c r="N9" s="39"/>
      <c r="O9" s="39"/>
      <c r="P9" s="38">
        <f t="shared" si="0"/>
        <v>0.25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8" x14ac:dyDescent="0.3">
      <c r="A10" s="21">
        <v>5</v>
      </c>
      <c r="B10" s="19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/>
      <c r="K10" s="39"/>
      <c r="L10" s="39"/>
      <c r="M10" s="39"/>
      <c r="N10" s="39"/>
      <c r="O10" s="39"/>
      <c r="P10" s="38">
        <f t="shared" si="0"/>
        <v>0.125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8" x14ac:dyDescent="0.3">
      <c r="A11" s="21">
        <v>6</v>
      </c>
      <c r="B11" s="19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/>
      <c r="K11" s="39"/>
      <c r="L11" s="39"/>
      <c r="M11" s="39"/>
      <c r="N11" s="39"/>
      <c r="O11" s="40"/>
      <c r="P11" s="38">
        <f t="shared" si="0"/>
        <v>0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8" x14ac:dyDescent="0.3">
      <c r="A12" s="21">
        <v>7</v>
      </c>
      <c r="B12" s="19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/>
      <c r="K12" s="39"/>
      <c r="L12" s="39"/>
      <c r="M12" s="39"/>
      <c r="N12" s="39"/>
      <c r="O12" s="40"/>
      <c r="P12" s="38">
        <f t="shared" si="0"/>
        <v>0.125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19.8" x14ac:dyDescent="0.3">
      <c r="A13" s="21">
        <v>8</v>
      </c>
      <c r="B13" s="62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/>
      <c r="K13" s="39"/>
      <c r="L13" s="39"/>
      <c r="M13" s="39"/>
      <c r="N13" s="39"/>
      <c r="O13" s="39"/>
      <c r="P13" s="38">
        <f t="shared" si="0"/>
        <v>0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8" x14ac:dyDescent="0.3">
      <c r="A14" s="21">
        <v>9</v>
      </c>
      <c r="B14" s="63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/>
      <c r="K14" s="39"/>
      <c r="L14" s="39"/>
      <c r="M14" s="39"/>
      <c r="N14" s="39"/>
      <c r="O14" s="40"/>
      <c r="P14" s="38">
        <f t="shared" si="0"/>
        <v>0.125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8" x14ac:dyDescent="0.3">
      <c r="A15" s="21">
        <v>10</v>
      </c>
      <c r="B15" s="63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/>
      <c r="K15" s="39"/>
      <c r="L15" s="39"/>
      <c r="M15" s="39"/>
      <c r="N15" s="39"/>
      <c r="O15" s="40"/>
      <c r="P15" s="38">
        <f t="shared" si="0"/>
        <v>0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19.8" x14ac:dyDescent="0.3">
      <c r="A16" s="21">
        <v>11</v>
      </c>
      <c r="B16" s="63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/>
      <c r="K16" s="39"/>
      <c r="L16" s="39"/>
      <c r="M16" s="39"/>
      <c r="N16" s="39"/>
      <c r="O16" s="40"/>
      <c r="P16" s="38">
        <f t="shared" si="0"/>
        <v>0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8" x14ac:dyDescent="0.3">
      <c r="A17" s="21">
        <v>12</v>
      </c>
      <c r="B17" s="63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1</v>
      </c>
      <c r="I17" s="39"/>
      <c r="J17" s="39"/>
      <c r="K17" s="39"/>
      <c r="L17" s="39"/>
      <c r="M17" s="39"/>
      <c r="N17" s="39"/>
      <c r="O17" s="40"/>
      <c r="P17" s="38">
        <f t="shared" si="0"/>
        <v>0.125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8" x14ac:dyDescent="0.3">
      <c r="A18" s="21">
        <v>13</v>
      </c>
      <c r="B18" s="63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/>
      <c r="K18" s="39"/>
      <c r="L18" s="39"/>
      <c r="M18" s="39"/>
      <c r="N18" s="39"/>
      <c r="O18" s="40"/>
      <c r="P18" s="38">
        <f t="shared" si="0"/>
        <v>0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8" x14ac:dyDescent="0.3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2</v>
      </c>
      <c r="I19" s="39"/>
      <c r="J19" s="39"/>
      <c r="K19" s="39"/>
      <c r="L19" s="39"/>
      <c r="M19" s="39"/>
      <c r="N19" s="39"/>
      <c r="O19" s="40"/>
      <c r="P19" s="38">
        <f t="shared" si="0"/>
        <v>0.25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8" x14ac:dyDescent="0.3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/>
      <c r="K20" s="39"/>
      <c r="L20" s="39"/>
      <c r="M20" s="39"/>
      <c r="N20" s="39"/>
      <c r="O20" s="40"/>
      <c r="P20" s="38">
        <f t="shared" si="0"/>
        <v>0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19.8" x14ac:dyDescent="0.3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/>
      <c r="K21" s="39"/>
      <c r="L21" s="39"/>
      <c r="M21" s="39"/>
      <c r="N21" s="39"/>
      <c r="O21" s="39"/>
      <c r="P21" s="38">
        <f t="shared" si="0"/>
        <v>0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8" x14ac:dyDescent="0.3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2</v>
      </c>
      <c r="I22" s="39"/>
      <c r="J22" s="39"/>
      <c r="K22" s="39"/>
      <c r="L22" s="39"/>
      <c r="M22" s="39"/>
      <c r="N22" s="39"/>
      <c r="O22" s="40"/>
      <c r="P22" s="38">
        <f t="shared" si="0"/>
        <v>0.25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8" x14ac:dyDescent="0.3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/>
      <c r="K23" s="39"/>
      <c r="L23" s="39"/>
      <c r="M23" s="39"/>
      <c r="N23" s="39"/>
      <c r="O23" s="40"/>
      <c r="P23" s="38">
        <f t="shared" si="0"/>
        <v>0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19.8" x14ac:dyDescent="0.3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3</v>
      </c>
      <c r="I24" s="39"/>
      <c r="J24" s="39"/>
      <c r="K24" s="39"/>
      <c r="L24" s="39"/>
      <c r="M24" s="39"/>
      <c r="N24" s="39"/>
      <c r="O24" s="40"/>
      <c r="P24" s="38">
        <f t="shared" si="0"/>
        <v>0.375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19.8" x14ac:dyDescent="0.3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/>
      <c r="K25" s="39"/>
      <c r="L25" s="39"/>
      <c r="M25" s="39"/>
      <c r="N25" s="39"/>
      <c r="O25" s="39"/>
      <c r="P25" s="38">
        <f t="shared" si="0"/>
        <v>0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8" x14ac:dyDescent="0.3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3</v>
      </c>
      <c r="I26" s="39"/>
      <c r="J26" s="39"/>
      <c r="K26" s="39"/>
      <c r="L26" s="39"/>
      <c r="M26" s="39"/>
      <c r="N26" s="39"/>
      <c r="O26" s="40"/>
      <c r="P26" s="38">
        <f t="shared" si="0"/>
        <v>0.375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8" x14ac:dyDescent="0.3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/>
      <c r="K27" s="39"/>
      <c r="L27" s="39"/>
      <c r="M27" s="39"/>
      <c r="N27" s="39"/>
      <c r="O27" s="40"/>
      <c r="P27" s="38">
        <f t="shared" si="0"/>
        <v>0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8" x14ac:dyDescent="0.3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/>
      <c r="K28" s="39"/>
      <c r="L28" s="39"/>
      <c r="M28" s="39"/>
      <c r="N28" s="39"/>
      <c r="O28" s="40"/>
      <c r="P28" s="38">
        <f t="shared" si="0"/>
        <v>0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8" x14ac:dyDescent="0.3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1</v>
      </c>
      <c r="I29" s="39"/>
      <c r="J29" s="39"/>
      <c r="K29" s="39"/>
      <c r="L29" s="39"/>
      <c r="M29" s="39"/>
      <c r="N29" s="39"/>
      <c r="O29" s="40"/>
      <c r="P29" s="38">
        <f t="shared" si="0"/>
        <v>0.125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8" x14ac:dyDescent="0.3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/>
      <c r="K30" s="39"/>
      <c r="L30" s="39"/>
      <c r="M30" s="39"/>
      <c r="N30" s="39"/>
      <c r="O30" s="39"/>
      <c r="P30" s="38">
        <f t="shared" si="0"/>
        <v>0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19.8" x14ac:dyDescent="0.3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/>
      <c r="K31" s="39"/>
      <c r="L31" s="39"/>
      <c r="M31" s="39"/>
      <c r="N31" s="39"/>
      <c r="O31" s="40"/>
      <c r="P31" s="38">
        <f t="shared" si="0"/>
        <v>0.125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19.8" x14ac:dyDescent="0.3">
      <c r="A32" s="21">
        <v>27</v>
      </c>
      <c r="B32" s="19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1</v>
      </c>
      <c r="I32" s="39"/>
      <c r="J32" s="39"/>
      <c r="K32" s="39"/>
      <c r="L32" s="39"/>
      <c r="M32" s="39"/>
      <c r="N32" s="39"/>
      <c r="O32" s="40"/>
      <c r="P32" s="38">
        <f t="shared" si="0"/>
        <v>0.125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8" x14ac:dyDescent="0.3">
      <c r="A33" s="21">
        <v>28</v>
      </c>
      <c r="B33" s="19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/>
      <c r="K33" s="39"/>
      <c r="L33" s="39"/>
      <c r="M33" s="39"/>
      <c r="N33" s="39"/>
      <c r="O33" s="40"/>
      <c r="P33" s="38">
        <f t="shared" si="0"/>
        <v>0.125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8" x14ac:dyDescent="0.3">
      <c r="A34" s="21">
        <v>29</v>
      </c>
      <c r="B34" s="19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/>
      <c r="K34" s="39"/>
      <c r="L34" s="39"/>
      <c r="M34" s="39"/>
      <c r="N34" s="39"/>
      <c r="O34" s="40"/>
      <c r="P34" s="38">
        <f t="shared" si="0"/>
        <v>0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8" x14ac:dyDescent="0.3">
      <c r="A35" s="21">
        <v>30</v>
      </c>
      <c r="B35" s="19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/>
      <c r="K35" s="39"/>
      <c r="L35" s="39"/>
      <c r="M35" s="39"/>
      <c r="N35" s="39"/>
      <c r="O35" s="40"/>
      <c r="P35" s="38">
        <f t="shared" si="0"/>
        <v>0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8" x14ac:dyDescent="0.3">
      <c r="A36" s="21">
        <v>31</v>
      </c>
      <c r="B36" s="19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1</v>
      </c>
      <c r="I36" s="39"/>
      <c r="J36" s="39"/>
      <c r="K36" s="39"/>
      <c r="L36" s="39"/>
      <c r="M36" s="39"/>
      <c r="N36" s="39"/>
      <c r="O36" s="39"/>
      <c r="P36" s="38">
        <f t="shared" si="0"/>
        <v>0.125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19.8" x14ac:dyDescent="0.3">
      <c r="A37" s="21">
        <v>32</v>
      </c>
      <c r="B37" s="19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1</v>
      </c>
      <c r="I37" s="39"/>
      <c r="J37" s="39"/>
      <c r="K37" s="39"/>
      <c r="L37" s="39"/>
      <c r="M37" s="39"/>
      <c r="N37" s="39"/>
      <c r="O37" s="40"/>
      <c r="P37" s="38">
        <f t="shared" si="0"/>
        <v>0.125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8" x14ac:dyDescent="0.3">
      <c r="A38" s="21">
        <v>33</v>
      </c>
      <c r="B38" s="19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/>
      <c r="K38" s="39"/>
      <c r="L38" s="39"/>
      <c r="M38" s="39"/>
      <c r="N38" s="39"/>
      <c r="O38" s="40"/>
      <c r="P38" s="38">
        <f t="shared" si="0"/>
        <v>0.125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19.8" x14ac:dyDescent="0.3">
      <c r="A39" s="21">
        <v>34</v>
      </c>
      <c r="B39" s="19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2</v>
      </c>
      <c r="I39" s="39"/>
      <c r="J39" s="39"/>
      <c r="K39" s="39"/>
      <c r="L39" s="39"/>
      <c r="M39" s="39"/>
      <c r="N39" s="39"/>
      <c r="O39" s="40"/>
      <c r="P39" s="38">
        <f t="shared" si="0"/>
        <v>0.25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19.8" x14ac:dyDescent="0.3">
      <c r="A40" s="21">
        <v>35</v>
      </c>
      <c r="B40" s="19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3</v>
      </c>
      <c r="I40" s="39"/>
      <c r="J40" s="39"/>
      <c r="K40" s="39"/>
      <c r="L40" s="39"/>
      <c r="M40" s="39"/>
      <c r="N40" s="39"/>
      <c r="O40" s="39"/>
      <c r="P40" s="38">
        <f t="shared" si="0"/>
        <v>0.375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8" x14ac:dyDescent="0.3">
      <c r="A41" s="21">
        <v>36</v>
      </c>
      <c r="B41" s="19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/>
      <c r="K41" s="39"/>
      <c r="L41" s="39"/>
      <c r="M41" s="39"/>
      <c r="N41" s="39"/>
      <c r="O41" s="39"/>
      <c r="P41" s="38">
        <f t="shared" si="0"/>
        <v>0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8" x14ac:dyDescent="0.3">
      <c r="A42" s="21">
        <v>37</v>
      </c>
      <c r="B42" s="19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/>
      <c r="K42" s="39"/>
      <c r="L42" s="39"/>
      <c r="M42" s="39"/>
      <c r="N42" s="39"/>
      <c r="O42" s="40"/>
      <c r="P42" s="38">
        <f t="shared" si="0"/>
        <v>0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19.8" x14ac:dyDescent="0.3">
      <c r="A43" s="21">
        <v>38</v>
      </c>
      <c r="B43" s="19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/>
      <c r="K43" s="39"/>
      <c r="L43" s="39"/>
      <c r="M43" s="39"/>
      <c r="N43" s="39"/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19.8" x14ac:dyDescent="0.3">
      <c r="A44" s="21">
        <v>39</v>
      </c>
      <c r="B44" s="19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/>
      <c r="K44" s="39"/>
      <c r="L44" s="39"/>
      <c r="M44" s="39"/>
      <c r="N44" s="39"/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8" x14ac:dyDescent="0.3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1</v>
      </c>
      <c r="I45" s="39"/>
      <c r="J45" s="39"/>
      <c r="K45" s="39"/>
      <c r="L45" s="39"/>
      <c r="M45" s="39"/>
      <c r="N45" s="39"/>
      <c r="O45" s="40"/>
      <c r="P45" s="38">
        <f t="shared" si="0"/>
        <v>0.125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19.8" x14ac:dyDescent="0.3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/>
      <c r="K46" s="39"/>
      <c r="L46" s="39"/>
      <c r="M46" s="39"/>
      <c r="N46" s="39"/>
      <c r="O46" s="39"/>
      <c r="P46" s="38">
        <f t="shared" si="0"/>
        <v>0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19.8" x14ac:dyDescent="0.3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1</v>
      </c>
      <c r="I47" s="39"/>
      <c r="J47" s="39"/>
      <c r="K47" s="39"/>
      <c r="L47" s="39"/>
      <c r="M47" s="39"/>
      <c r="N47" s="39"/>
      <c r="O47" s="40"/>
      <c r="P47" s="38">
        <f t="shared" si="0"/>
        <v>0.125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19.8" x14ac:dyDescent="0.3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/>
      <c r="K48" s="39"/>
      <c r="L48" s="39"/>
      <c r="M48" s="39"/>
      <c r="N48" s="39"/>
      <c r="O48" s="40"/>
      <c r="P48" s="38">
        <f t="shared" si="0"/>
        <v>0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19.8" x14ac:dyDescent="0.3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/>
      <c r="K49" s="39"/>
      <c r="L49" s="39"/>
      <c r="M49" s="39"/>
      <c r="N49" s="39"/>
      <c r="O49" s="40"/>
      <c r="P49" s="38">
        <f t="shared" si="0"/>
        <v>0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19.8" x14ac:dyDescent="0.3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/>
      <c r="K50" s="39"/>
      <c r="L50" s="39"/>
      <c r="M50" s="39"/>
      <c r="N50" s="39"/>
      <c r="O50" s="39"/>
      <c r="P50" s="38">
        <f t="shared" si="0"/>
        <v>0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19.8" x14ac:dyDescent="0.3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/>
      <c r="K51" s="39"/>
      <c r="L51" s="39"/>
      <c r="M51" s="39"/>
      <c r="N51" s="39"/>
      <c r="O51" s="40"/>
      <c r="P51" s="38">
        <f t="shared" si="0"/>
        <v>0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19.8" x14ac:dyDescent="0.3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1</v>
      </c>
      <c r="I52" s="39"/>
      <c r="J52" s="39"/>
      <c r="K52" s="39"/>
      <c r="L52" s="39"/>
      <c r="M52" s="39"/>
      <c r="N52" s="39"/>
      <c r="O52" s="40"/>
      <c r="P52" s="38">
        <f t="shared" si="0"/>
        <v>0.125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19.8" x14ac:dyDescent="0.3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1</v>
      </c>
      <c r="I53" s="39"/>
      <c r="J53" s="39"/>
      <c r="K53" s="39"/>
      <c r="L53" s="39"/>
      <c r="M53" s="39"/>
      <c r="N53" s="39"/>
      <c r="O53" s="40"/>
      <c r="P53" s="38">
        <f t="shared" si="0"/>
        <v>0.125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8" x14ac:dyDescent="0.3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>
        <v>2</v>
      </c>
      <c r="I54" s="39"/>
      <c r="J54" s="39"/>
      <c r="K54" s="39"/>
      <c r="L54" s="39"/>
      <c r="M54" s="39"/>
      <c r="N54" s="39"/>
      <c r="O54" s="40"/>
      <c r="P54" s="38">
        <f t="shared" ref="P54" si="4">+SUM(H54:O54)/8</f>
        <v>0.25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8" x14ac:dyDescent="0.3">
      <c r="A55" s="21">
        <v>50</v>
      </c>
      <c r="B55" s="19"/>
      <c r="C55" s="22"/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8" x14ac:dyDescent="0.3">
      <c r="A56" s="21">
        <v>51</v>
      </c>
      <c r="B56" s="19"/>
      <c r="C56" s="22"/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8" x14ac:dyDescent="0.3">
      <c r="A57" s="21">
        <v>52</v>
      </c>
      <c r="B57" s="19"/>
      <c r="C57" s="22"/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8" x14ac:dyDescent="0.3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8" x14ac:dyDescent="0.3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8" x14ac:dyDescent="0.3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8" x14ac:dyDescent="0.3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8" x14ac:dyDescent="0.3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8" x14ac:dyDescent="0.3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8" x14ac:dyDescent="0.3">
      <c r="A64" s="21">
        <v>59</v>
      </c>
      <c r="B64" s="19"/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8" t="s">
        <v>20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</row>
    <row r="2" spans="1:20" ht="20.100000000000001" customHeight="1" x14ac:dyDescent="0.4">
      <c r="A2" s="110" t="s">
        <v>13</v>
      </c>
      <c r="B2" s="124" t="s">
        <v>22</v>
      </c>
      <c r="C2" s="126" t="s">
        <v>3</v>
      </c>
      <c r="D2" s="98" t="str">
        <f>Asistencia!D2</f>
        <v>NOMBRE DOCENTE</v>
      </c>
      <c r="E2" s="99"/>
      <c r="F2" s="100"/>
      <c r="G2" s="98" t="str">
        <f>Asistencia!H2</f>
        <v>NOMBRE DOCENTE</v>
      </c>
      <c r="H2" s="99"/>
      <c r="I2" s="99"/>
      <c r="J2" s="99"/>
      <c r="K2" s="100"/>
      <c r="L2" s="98" t="s">
        <v>21</v>
      </c>
      <c r="M2" s="99"/>
      <c r="N2" s="99"/>
      <c r="O2" s="99"/>
      <c r="P2" s="100"/>
      <c r="Q2" s="98" t="str">
        <f>Asistencia!Z2</f>
        <v>NOMBRE DOCENTE</v>
      </c>
      <c r="R2" s="99"/>
      <c r="S2" s="99"/>
      <c r="T2" s="100"/>
    </row>
    <row r="3" spans="1:20" ht="15" customHeight="1" x14ac:dyDescent="0.3">
      <c r="A3" s="111"/>
      <c r="B3" s="125"/>
      <c r="C3" s="127"/>
      <c r="D3" s="118" t="s">
        <v>7</v>
      </c>
      <c r="E3" s="119"/>
      <c r="F3" s="120"/>
      <c r="G3" s="112" t="s">
        <v>2</v>
      </c>
      <c r="H3" s="113"/>
      <c r="I3" s="113"/>
      <c r="J3" s="113"/>
      <c r="K3" s="114"/>
      <c r="L3" s="147" t="s">
        <v>1</v>
      </c>
      <c r="M3" s="148"/>
      <c r="N3" s="148"/>
      <c r="O3" s="148"/>
      <c r="P3" s="149"/>
      <c r="Q3" s="101" t="s">
        <v>0</v>
      </c>
      <c r="R3" s="102"/>
      <c r="S3" s="102"/>
      <c r="T3" s="103"/>
    </row>
    <row r="4" spans="1:20" ht="15" customHeight="1" x14ac:dyDescent="0.3">
      <c r="A4" s="111"/>
      <c r="B4" s="125"/>
      <c r="C4" s="127"/>
      <c r="D4" s="121"/>
      <c r="E4" s="122"/>
      <c r="F4" s="123"/>
      <c r="G4" s="115"/>
      <c r="H4" s="116"/>
      <c r="I4" s="116"/>
      <c r="J4" s="116"/>
      <c r="K4" s="117"/>
      <c r="L4" s="150"/>
      <c r="M4" s="151"/>
      <c r="N4" s="151"/>
      <c r="O4" s="151"/>
      <c r="P4" s="152"/>
      <c r="Q4" s="104"/>
      <c r="R4" s="105"/>
      <c r="S4" s="105"/>
      <c r="T4" s="106"/>
    </row>
    <row r="5" spans="1:20" ht="15.75" customHeight="1" x14ac:dyDescent="0.3">
      <c r="A5" s="111"/>
      <c r="B5" s="125"/>
      <c r="C5" s="127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8" x14ac:dyDescent="0.3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132" t="s">
        <v>26</v>
      </c>
      <c r="E65" s="135" t="s">
        <v>12</v>
      </c>
      <c r="G65" s="129" t="s">
        <v>8</v>
      </c>
      <c r="H65" s="141" t="s">
        <v>9</v>
      </c>
      <c r="I65" s="141" t="s">
        <v>10</v>
      </c>
      <c r="J65" s="129" t="s">
        <v>11</v>
      </c>
      <c r="L65" s="107" t="s">
        <v>8</v>
      </c>
      <c r="M65" s="138" t="s">
        <v>9</v>
      </c>
      <c r="N65" s="138" t="s">
        <v>10</v>
      </c>
      <c r="O65" s="107" t="s">
        <v>11</v>
      </c>
      <c r="Q65" s="144" t="s">
        <v>26</v>
      </c>
      <c r="R65" s="144" t="s">
        <v>4</v>
      </c>
      <c r="S65" s="144" t="s">
        <v>5</v>
      </c>
    </row>
    <row r="66" spans="4:19" x14ac:dyDescent="0.3">
      <c r="D66" s="133"/>
      <c r="E66" s="136"/>
      <c r="G66" s="130"/>
      <c r="H66" s="142"/>
      <c r="I66" s="142"/>
      <c r="J66" s="130"/>
      <c r="L66" s="108"/>
      <c r="M66" s="139"/>
      <c r="N66" s="139"/>
      <c r="O66" s="108"/>
      <c r="Q66" s="145"/>
      <c r="R66" s="145"/>
      <c r="S66" s="145"/>
    </row>
    <row r="67" spans="4:19" x14ac:dyDescent="0.3">
      <c r="D67" s="133"/>
      <c r="E67" s="136"/>
      <c r="G67" s="130"/>
      <c r="H67" s="142"/>
      <c r="I67" s="142"/>
      <c r="J67" s="130"/>
      <c r="L67" s="108"/>
      <c r="M67" s="139"/>
      <c r="N67" s="139"/>
      <c r="O67" s="108"/>
      <c r="Q67" s="145"/>
      <c r="R67" s="145"/>
      <c r="S67" s="145"/>
    </row>
    <row r="68" spans="4:19" x14ac:dyDescent="0.3">
      <c r="D68" s="133"/>
      <c r="E68" s="136"/>
      <c r="G68" s="130"/>
      <c r="H68" s="142"/>
      <c r="I68" s="142"/>
      <c r="J68" s="130"/>
      <c r="L68" s="108"/>
      <c r="M68" s="139"/>
      <c r="N68" s="139"/>
      <c r="O68" s="108"/>
      <c r="Q68" s="145"/>
      <c r="R68" s="145"/>
      <c r="S68" s="145"/>
    </row>
    <row r="69" spans="4:19" x14ac:dyDescent="0.3">
      <c r="D69" s="133"/>
      <c r="E69" s="136"/>
      <c r="G69" s="130"/>
      <c r="H69" s="142"/>
      <c r="I69" s="142"/>
      <c r="J69" s="130"/>
      <c r="L69" s="108"/>
      <c r="M69" s="139"/>
      <c r="N69" s="139"/>
      <c r="O69" s="108"/>
      <c r="Q69" s="145"/>
      <c r="R69" s="145"/>
      <c r="S69" s="145"/>
    </row>
    <row r="70" spans="4:19" x14ac:dyDescent="0.3">
      <c r="D70" s="133"/>
      <c r="E70" s="136"/>
      <c r="G70" s="130"/>
      <c r="H70" s="142"/>
      <c r="I70" s="142"/>
      <c r="J70" s="130"/>
      <c r="L70" s="108"/>
      <c r="M70" s="139"/>
      <c r="N70" s="139"/>
      <c r="O70" s="108"/>
      <c r="Q70" s="145"/>
      <c r="R70" s="145"/>
      <c r="S70" s="145"/>
    </row>
    <row r="71" spans="4:19" x14ac:dyDescent="0.3">
      <c r="D71" s="133"/>
      <c r="E71" s="136"/>
      <c r="G71" s="130"/>
      <c r="H71" s="142"/>
      <c r="I71" s="142"/>
      <c r="J71" s="130"/>
      <c r="L71" s="108"/>
      <c r="M71" s="139"/>
      <c r="N71" s="139"/>
      <c r="O71" s="108"/>
      <c r="Q71" s="145"/>
      <c r="R71" s="145"/>
      <c r="S71" s="145"/>
    </row>
    <row r="72" spans="4:19" x14ac:dyDescent="0.3">
      <c r="D72" s="133"/>
      <c r="E72" s="136"/>
      <c r="G72" s="130"/>
      <c r="H72" s="142"/>
      <c r="I72" s="142"/>
      <c r="J72" s="130"/>
      <c r="L72" s="108"/>
      <c r="M72" s="139"/>
      <c r="N72" s="139"/>
      <c r="O72" s="108"/>
      <c r="Q72" s="145"/>
      <c r="R72" s="145"/>
      <c r="S72" s="145"/>
    </row>
    <row r="73" spans="4:19" x14ac:dyDescent="0.3">
      <c r="D73" s="133"/>
      <c r="E73" s="136"/>
      <c r="G73" s="130"/>
      <c r="H73" s="142"/>
      <c r="I73" s="142"/>
      <c r="J73" s="130"/>
      <c r="L73" s="108"/>
      <c r="M73" s="139"/>
      <c r="N73" s="139"/>
      <c r="O73" s="108"/>
      <c r="Q73" s="145"/>
      <c r="R73" s="145"/>
      <c r="S73" s="145"/>
    </row>
    <row r="74" spans="4:19" ht="15" thickBot="1" x14ac:dyDescent="0.35">
      <c r="D74" s="134"/>
      <c r="E74" s="137"/>
      <c r="G74" s="131"/>
      <c r="H74" s="143"/>
      <c r="I74" s="143"/>
      <c r="J74" s="131"/>
      <c r="L74" s="109"/>
      <c r="M74" s="140"/>
      <c r="N74" s="140"/>
      <c r="O74" s="109"/>
      <c r="Q74" s="146"/>
      <c r="R74" s="146"/>
      <c r="S74" s="146"/>
    </row>
  </sheetData>
  <mergeCells count="25"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  <mergeCell ref="G2:K2"/>
    <mergeCell ref="D2:F2"/>
    <mergeCell ref="Q3:T4"/>
    <mergeCell ref="O65:O74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2026-06-06T20:57:34Z</dcterms:modified>
</cp:coreProperties>
</file>